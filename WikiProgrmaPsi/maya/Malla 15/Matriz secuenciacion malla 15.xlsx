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xl/threadedComments/threadedComment1.xml" ContentType="application/vnd.ms-excel.threadedcomments+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8AA38EBC-CC2C-4B63-8C8F-BB95644C3AD9}" xr6:coauthVersionLast="47" xr6:coauthVersionMax="47" xr10:uidLastSave="{00000000-0000-0000-0000-000000000000}"/>
  <bookViews>
    <workbookView xWindow="-90" yWindow="0" windowWidth="9780" windowHeight="10170" activeTab="3" xr2:uid="{00000000-000D-0000-FFFF-FFFF00000000}"/>
  </bookViews>
  <sheets>
    <sheet name="TABLA 1" sheetId="19" r:id="rId1"/>
    <sheet name="TABLA 2" sheetId="7" r:id="rId2"/>
    <sheet name="TABLA 3" sheetId="8" state="hidden" r:id="rId3"/>
    <sheet name="TABLA 4" sheetId="9" r:id="rId4"/>
    <sheet name="TABLA 5" sheetId="12" r:id="rId5"/>
    <sheet name="Hoja3" sheetId="17"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6" roundtripDataSignature="AMtx7mhVC+VbnvhJROebXRdQTWDgBVv5Gw=="/>
    </ext>
  </extLst>
</workbook>
</file>

<file path=xl/calcChain.xml><?xml version="1.0" encoding="utf-8"?>
<calcChain xmlns="http://schemas.openxmlformats.org/spreadsheetml/2006/main">
  <c r="CB107" i="19" l="1"/>
  <c r="BM107" i="19"/>
  <c r="BF107" i="19"/>
  <c r="AY107" i="19"/>
  <c r="AR107" i="19"/>
  <c r="W107" i="19"/>
  <c r="I107" i="19"/>
  <c r="D107" i="19"/>
  <c r="CA106" i="19"/>
  <c r="CB106" i="19" s="1"/>
  <c r="AN106" i="19"/>
  <c r="AM106" i="19"/>
  <c r="AK106" i="19"/>
  <c r="AK107" i="19" s="1"/>
  <c r="AG106" i="19"/>
  <c r="AF106" i="19"/>
  <c r="AD106" i="19"/>
  <c r="AD107" i="19" s="1"/>
  <c r="Y106" i="19"/>
  <c r="W106" i="19"/>
  <c r="R106" i="19"/>
  <c r="P106" i="19"/>
  <c r="P107" i="19" s="1"/>
  <c r="K106" i="19"/>
  <c r="E107" i="19" s="1"/>
  <c r="I106" i="19"/>
  <c r="C107" i="19" s="1"/>
  <c r="Z103" i="19"/>
  <c r="BV93" i="19"/>
  <c r="BU93" i="19"/>
  <c r="BT93" i="19"/>
  <c r="BI89" i="19"/>
  <c r="BW85" i="19"/>
  <c r="BV85" i="19"/>
  <c r="BU85" i="19"/>
  <c r="BT85" i="19"/>
  <c r="BW81" i="19"/>
  <c r="BV81" i="19"/>
  <c r="AN77" i="19"/>
  <c r="Z77" i="19"/>
  <c r="AN69" i="19"/>
  <c r="BU65" i="19"/>
  <c r="BW56" i="19"/>
  <c r="BV56" i="19"/>
  <c r="BU56" i="19"/>
  <c r="BT56" i="19"/>
  <c r="BW52" i="19"/>
  <c r="BV52" i="19"/>
  <c r="BU52" i="19"/>
  <c r="BT52" i="19"/>
  <c r="BW41" i="19"/>
  <c r="BV41" i="19"/>
  <c r="BU41" i="19"/>
  <c r="BT41" i="19"/>
  <c r="BV37" i="19"/>
  <c r="BU37" i="19"/>
  <c r="BT37" i="19"/>
  <c r="Z33" i="19"/>
  <c r="Z106" i="19" s="1"/>
  <c r="S26" i="19"/>
  <c r="S106" i="19" s="1"/>
  <c r="L26" i="19"/>
  <c r="L106" i="19" s="1"/>
  <c r="BW17" i="19"/>
  <c r="BV17" i="19"/>
  <c r="BU17" i="19"/>
  <c r="BT17" i="19"/>
  <c r="BU13" i="19"/>
  <c r="BT13" i="19"/>
  <c r="BV9" i="19"/>
  <c r="BU9" i="19"/>
  <c r="BT9" i="19"/>
  <c r="S9" i="19"/>
  <c r="BW9" i="19" s="1"/>
  <c r="BT5" i="19"/>
  <c r="S5" i="19"/>
  <c r="L5" i="19"/>
  <c r="BW65525" i="19" l="1"/>
  <c r="BW37" i="19"/>
  <c r="BT107"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Invitado</author>
  </authors>
  <commentList>
    <comment ref="AJ44" authorId="0" shapeId="0" xr:uid="{93363989-2524-4DD6-853A-96E988EB437C}">
      <text>
        <r>
          <rPr>
            <b/>
            <sz val="12"/>
            <color indexed="81"/>
            <rFont val="Tahoma"/>
            <family val="2"/>
          </rPr>
          <t>Electiva disciplinar I:</t>
        </r>
        <r>
          <rPr>
            <sz val="12"/>
            <color indexed="81"/>
            <rFont val="Tahoma"/>
            <family val="2"/>
          </rPr>
          <t xml:space="preserve">
TRANSTORNO DEFICIT DE ATENIÓN
TRANSTORNO DE APRENDIZAJE
TRASTORNOS NEUROLOGICOS DE LA NIÑEZ
TRASTORNOS NEUROLOGICOS DE LA VEJEZ
LENGUAJE DE SEÑAS
</t>
        </r>
      </text>
    </comment>
    <comment ref="BE59" authorId="0" shapeId="0" xr:uid="{48ADD435-AE6C-4BC5-B714-152B2D0B52B7}">
      <text>
        <r>
          <rPr>
            <b/>
            <sz val="11"/>
            <color indexed="81"/>
            <rFont val="Tahoma"/>
            <family val="2"/>
          </rPr>
          <t>Electiva Disciplinar II:</t>
        </r>
        <r>
          <rPr>
            <sz val="11"/>
            <color indexed="81"/>
            <rFont val="Tahoma"/>
            <family val="2"/>
          </rPr>
          <t xml:space="preserve">
PSICOLOGIA ECONOMICA
PSICOLOGIA ECOLOGICA
PSICOLOGIA POLITICA</t>
        </r>
      </text>
    </comment>
    <comment ref="AJ64" authorId="0" shapeId="0" xr:uid="{39F7FA10-F78D-4302-97B4-823367D1279A}">
      <text>
        <r>
          <rPr>
            <b/>
            <sz val="12"/>
            <color indexed="81"/>
            <rFont val="Tahoma"/>
            <family val="2"/>
          </rPr>
          <t>Electiva Profesional I:</t>
        </r>
        <r>
          <rPr>
            <sz val="12"/>
            <color indexed="81"/>
            <rFont val="Tahoma"/>
            <family val="2"/>
          </rPr>
          <t xml:space="preserve">
NEGOCIACION, CONCILIACION Y SOLUCION DE CONFLICTOS FAMILIARES.
NEGOCIACION, CONCILIACION Y SOLUCION DE CONFLICTOS EDUCATIVOS.
NEGOCIACION, CONCILIACION Y SOLUCION DE CONFLICTOS LABORALES.</t>
        </r>
      </text>
    </comment>
    <comment ref="AX68" authorId="0" shapeId="0" xr:uid="{A0038677-23F6-47BC-9AFC-8F7C5FC6AC70}">
      <text>
        <r>
          <rPr>
            <b/>
            <sz val="12"/>
            <color indexed="81"/>
            <rFont val="Tahoma"/>
            <family val="2"/>
          </rPr>
          <t>Electiva Profesional Clinica I</t>
        </r>
        <r>
          <rPr>
            <sz val="12"/>
            <color indexed="81"/>
            <rFont val="Tahoma"/>
            <family val="2"/>
          </rPr>
          <t xml:space="preserve">
CLÍNICA PSICOANALÍTICA
CLÍNICA SISTEMICA
CLÍNICA COMPORTAMENTAL COGNITIVA
CLÍNICA HUMANISTA
(Se selecciona una)</t>
        </r>
      </text>
    </comment>
    <comment ref="BE68" authorId="0" shapeId="0" xr:uid="{9E806E5C-F3B8-4BBB-9C7E-BA2A34D64B65}">
      <text>
        <r>
          <rPr>
            <b/>
            <sz val="12"/>
            <color indexed="81"/>
            <rFont val="Tahoma"/>
            <family val="2"/>
          </rPr>
          <t xml:space="preserve">Electiva Profesional Clinica II
</t>
        </r>
        <r>
          <rPr>
            <sz val="12"/>
            <color indexed="81"/>
            <rFont val="Tahoma"/>
            <family val="2"/>
          </rPr>
          <t>CLÍNICA PSICOANALÍTICA
CLÍNICA SISTEMICA
CLÍNICA COMPORTAMENTAL COGNITIVA
CLÍNICA HUMANISTA
(Se selecciona una distinta a la seleccionada en VIII)</t>
        </r>
      </text>
    </comment>
    <comment ref="BE71" authorId="0" shapeId="0" xr:uid="{A08B2215-FD75-4CB6-A838-8C513B18AEE2}">
      <text>
        <r>
          <rPr>
            <b/>
            <sz val="12"/>
            <color indexed="81"/>
            <rFont val="Tahoma"/>
            <family val="2"/>
          </rPr>
          <t xml:space="preserve">Electiva Profesional Clinica II
</t>
        </r>
        <r>
          <rPr>
            <sz val="12"/>
            <color indexed="81"/>
            <rFont val="Tahoma"/>
            <family val="2"/>
          </rPr>
          <t>CLÍNICA PSICOANALÍTICA
CLÍNICA SISTEMICA
CLÍNICA COMPORTAMENTAL COGNITIVA
CLÍNICA HUMANISTA
(Se selecciona una distinta a la seleccionada en VIII)</t>
        </r>
      </text>
    </comment>
    <comment ref="BE76" authorId="0" shapeId="0" xr:uid="{2C55465A-A5C4-4BB2-B1DE-649645685351}">
      <text>
        <r>
          <rPr>
            <b/>
            <sz val="12"/>
            <color indexed="81"/>
            <rFont val="Tahoma"/>
            <family val="2"/>
          </rPr>
          <t>Electiva Profesional Clinica I</t>
        </r>
        <r>
          <rPr>
            <sz val="12"/>
            <color indexed="81"/>
            <rFont val="Tahoma"/>
            <family val="2"/>
          </rPr>
          <t xml:space="preserve">
CLÍNICA PSICOANALÍTICA
CLÍNICA SISTEMICA
CLÍNICA COMPORTAMENTAL COGNITIVA
CLÍNICA HUMANISTA
(Se selecciona una)</t>
        </r>
      </text>
    </comment>
    <comment ref="BE80" authorId="0" shapeId="0" xr:uid="{14FBEE94-5437-4D2B-B8D7-28317DE7D70C}">
      <text>
        <r>
          <rPr>
            <b/>
            <sz val="12"/>
            <color indexed="81"/>
            <rFont val="Tahoma"/>
            <family val="2"/>
          </rPr>
          <t>Electiva Profesional Clinica I</t>
        </r>
        <r>
          <rPr>
            <sz val="12"/>
            <color indexed="81"/>
            <rFont val="Tahoma"/>
            <family val="2"/>
          </rPr>
          <t xml:space="preserve">
CLÍNICA PSICOANALÍTICA
CLÍNICA SISTEMICA
CLÍNICA COMPORTAMENTAL COGNITIVA
CLÍNICA HUMANISTA
(Se selecciona una)</t>
        </r>
      </text>
    </comment>
    <comment ref="O102" authorId="0" shapeId="0" xr:uid="{78D9E7E6-AF09-4FEF-B6D4-125E114DC920}">
      <text>
        <r>
          <rPr>
            <b/>
            <sz val="12"/>
            <color indexed="81"/>
            <rFont val="Tahoma"/>
            <family val="2"/>
          </rPr>
          <t>Electivas:</t>
        </r>
        <r>
          <rPr>
            <sz val="12"/>
            <color indexed="81"/>
            <rFont val="Tahoma"/>
            <family val="2"/>
          </rPr>
          <t xml:space="preserve">
Historia I
Cultura  I 
Tecnociencia y Globalizaci+on I</t>
        </r>
      </text>
    </comment>
    <comment ref="V102" authorId="0" shapeId="0" xr:uid="{B101A3C3-DE06-461B-AB38-13366AD7C34A}">
      <text>
        <r>
          <rPr>
            <b/>
            <sz val="12"/>
            <color indexed="81"/>
            <rFont val="Tahoma"/>
            <family val="2"/>
          </rPr>
          <t>Electivas:
H</t>
        </r>
        <r>
          <rPr>
            <sz val="12"/>
            <color indexed="81"/>
            <rFont val="Tahoma"/>
            <family val="2"/>
          </rPr>
          <t>istoria II
Cultura  II 
Tecnociencia y Globalización  II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tc={164F8621-B3F8-47C8-AB44-1C4140A0A8E6}</author>
  </authors>
  <commentList>
    <comment ref="Q5" authorId="0" shapeId="0" xr:uid="{164F8621-B3F8-47C8-AB44-1C4140A0A8E6}">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no se asignaron estos RA a ningún curso.
Respuesta:
    No se ubicaron porque no se adaptan a ninguno de nuestros cursos, se sugiere diseñar unas competencias más generales porque tienen elementos matemáticos que no se desarrollan en nuestros cursos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tc={7FA64D2C-4594-4139-B4A6-05F8DA6FC9C6}</author>
    <author>tc={E9066D2A-A38E-4872-8855-847DD9B10D36}</author>
    <author>tc={7D2444A4-F2E6-439C-8AF7-F10185FE8E7D}</author>
    <author>tc={AC7D9751-0A8E-4CE3-AB79-ABB4663C46B3}</author>
    <author>tc={A9FCDDB7-F91B-4808-AB98-B2A07C4BD176}</author>
    <author>tc={062B61BC-AC58-4A71-ADCC-39B35A868327}</author>
    <author>tc={727805E0-A69A-4C89-804A-C13BABBBCE8C}</author>
    <author>tc={23B4DE29-4227-4A2D-A1C0-D07426997FEB}</author>
    <author>tc={2CC7984E-3C3F-47FE-BB39-054BB035A94C}</author>
    <author>tc={BADB144C-683D-4B83-A179-83E33C092ADA}</author>
    <author>tc={1C23028B-9984-463F-9272-1910FCC94B99}</author>
    <author>tc={867606C8-4D02-4A02-B358-044779F16F54}</author>
    <author>tc={D8B51E68-B9A8-4702-973B-828B80DD26E3}</author>
    <author>tc={3293213A-E4FA-4C58-887A-94CCEADAF07B}</author>
    <author>tc={EA059095-23C2-4AAC-92AE-69640125FE34}</author>
    <author>tc={EC3D04F8-D9F8-48BC-963D-B9462AC0A45E}</author>
    <author>tc={4A817FD3-ACF4-4741-8658-C2B1BD90A30C}</author>
    <author>tc={3A085308-9717-4054-9E57-EE197DA26423}</author>
    <author>tc={F48D27C5-94B5-4055-8F4B-D4D28DFCAB15}</author>
    <author>tc={4E5C40B5-4B21-47B5-BE79-8B965F8B136E}</author>
  </authors>
  <commentList>
    <comment ref="I11" authorId="0" shapeId="0" xr:uid="{7FA64D2C-4594-4139-B4A6-05F8DA6FC9C6}">
      <text>
        <t>[Comentario encadenado]
Su versión de Excel le permite leer este comentario encadenado; sin embargo, las ediciones que se apliquen se quitarán si el archivo se abre en una versión más reciente de Excel. Más información: https://go.microsoft.com/fwlink/?linkid=870924
Comentario:
    Curso disciplinar básico que permite desarrollar COIL o clases espejo con otras universidades</t>
      </text>
    </comment>
    <comment ref="J12" authorId="1" shapeId="0" xr:uid="{E9066D2A-A38E-4872-8855-847DD9B10D3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incluyen práctica con lentes de realidad virtual, laboratorio de morfología, ambientes de az virtual, laboratorio virtual (aula extendida), </t>
      </text>
    </comment>
    <comment ref="I13" authorId="2" shapeId="0" xr:uid="{7D2444A4-F2E6-439C-8AF7-F10185FE8E7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Curso disciplinar básico que permite desarrollar COIL o clases espejo con otras universidades
</t>
      </text>
    </comment>
    <comment ref="J14" authorId="3" shapeId="0" xr:uid="{AC7D9751-0A8E-4CE3-AB79-ABB4663C46B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incluyen práctica con lentes de realidad virtual, laboratorio de morfología, ambientes de az virtual, laboratorio virtual (aula extendida), 
</t>
      </text>
    </comment>
    <comment ref="F15" authorId="4" shapeId="0" xr:uid="{A9FCDDB7-F91B-4808-AB98-B2A07C4BD17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incluye la línea educativa, por su naturaleza y coincidencia con la inclusión. </t>
      </text>
    </comment>
    <comment ref="F16" authorId="5" shapeId="0" xr:uid="{062B61BC-AC58-4A71-ADCC-39B35A868327}">
      <text>
        <t>[Comentario encadenado]
Su versión de Excel le permite leer este comentario encadenado; sin embargo, las ediciones que se apliquen se quitarán si el archivo se abre en una versión más reciente de Excel. Más información: https://go.microsoft.com/fwlink/?linkid=870924
Comentario:
    Se incluye al eje por el estudio de las diferencias individuales</t>
      </text>
    </comment>
    <comment ref="E17" authorId="6" shapeId="0" xr:uid="{727805E0-A69A-4C89-804A-C13BABBBCE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vincula la línea social al eje transversal sostenible debido a que estos cursos exploran cómo las interacciones sociales, las actitudes y los comportamientos individuales pueden influir en la adopción de prácticas sostenibles y en la promoción de cambios hacia un futuro más equitativo y resiliente </t>
      </text>
    </comment>
    <comment ref="J20" authorId="7" shapeId="0" xr:uid="{23B4DE29-4227-4A2D-A1C0-D07426997FEB}">
      <text>
        <t>[Comentario encadenado]
Su versión de Excel le permite leer este comentario encadenado; sin embargo, las ediciones que se apliquen se quitarán si el archivo se abre en una versión más reciente de Excel. Más información: https://go.microsoft.com/fwlink/?linkid=870924
Comentario:
    Manejo de herramientas de análisis de datos como SPSS</t>
      </text>
    </comment>
    <comment ref="I21" authorId="8" shapeId="0" xr:uid="{2CC7984E-3C3F-47FE-BB39-054BB035A94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Revisar la mirada jurídica desde la perpectiva nacional e internacional </t>
      </text>
    </comment>
    <comment ref="F22" authorId="9" shapeId="0" xr:uid="{BADB144C-683D-4B83-A179-83E33C092ADA}">
      <text>
        <t>[Comentario encadenado]
Su versión de Excel le permite leer este comentario encadenado; sin embargo, las ediciones que se apliquen se quitarán si el archivo se abre en una versión más reciente de Excel. Más información: https://go.microsoft.com/fwlink/?linkid=870924
Comentario:
    Curso que aborda contenido coherente con la inclusión</t>
      </text>
    </comment>
    <comment ref="J23" authorId="10" shapeId="0" xr:uid="{1C23028B-9984-463F-9272-1910FCC94B99}">
      <text>
        <t>[Comentario encadenado]
Su versión de Excel le permite leer este comentario encadenado; sin embargo, las ediciones que se apliquen se quitarán si el archivo se abre en una versión más reciente de Excel. Más información: https://go.microsoft.com/fwlink/?linkid=870924
Comentario:
    Se incluyen practicas en el laboratorio de psicofisiologia (neuro-bio feedback)</t>
      </text>
    </comment>
    <comment ref="F27" authorId="11" shapeId="0" xr:uid="{867606C8-4D02-4A02-B358-044779F16F54}">
      <text>
        <t>[Comentario encadenado]
Su versión de Excel le permite leer este comentario encadenado; sin embargo, las ediciones que se apliquen se quitarán si el archivo se abre en una versión más reciente de Excel. Más información: https://go.microsoft.com/fwlink/?linkid=870924
Comentario:
    Se incluye la línea educativa, por su naturaleza y coincidencia con la inclusión</t>
      </text>
    </comment>
    <comment ref="I28" authorId="12" shapeId="0" xr:uid="{D8B51E68-B9A8-4702-973B-828B80DD26E3}">
      <text>
        <t>[Comentario encadenado]
Su versión de Excel le permite leer este comentario encadenado; sin embargo, las ediciones que se apliquen se quitarán si el archivo se abre en una versión más reciente de Excel. Más información: https://go.microsoft.com/fwlink/?linkid=870924
Comentario:
    En coherencia con la ruta de internacionalización ya establecida, para que en cada semestre se asocie un curso con el eje de internacionalización</t>
      </text>
    </comment>
    <comment ref="I29" authorId="13" shapeId="0" xr:uid="{3293213A-E4FA-4C58-887A-94CCEADAF07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psicología organizacional se elige en relación con la internacionalización porque permite comprender y adaptar estrategias de gestión del talento, clima laboral y liderazgo en contextos globales, facilitando la competitividad y la integración de las organizaciones en mercados internacionales. </t>
      </text>
    </comment>
    <comment ref="F31" authorId="14" shapeId="0" xr:uid="{EA059095-23C2-4AAC-92AE-69640125FE34}">
      <text>
        <t>[Comentario encadenado]
Su versión de Excel le permite leer este comentario encadenado; sin embargo, las ediciones que se apliquen se quitarán si el archivo se abre en una versión más reciente de Excel. Más información: https://go.microsoft.com/fwlink/?linkid=870924
Comentario:
    Se incluye la línea educativa, por su naturaleza y coincidencia con la inclusión</t>
      </text>
    </comment>
    <comment ref="F34" authorId="15" shapeId="0" xr:uid="{EC3D04F8-D9F8-48BC-963D-B9462AC0A45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Curso que aborda contenido coherente con la inclusión
</t>
      </text>
    </comment>
    <comment ref="F35" authorId="16" shapeId="0" xr:uid="{4A817FD3-ACF4-4741-8658-C2B1BD90A30C}">
      <text>
        <t>[Comentario encadenado]
Su versión de Excel le permite leer este comentario encadenado; sin embargo, las ediciones que se apliquen se quitarán si el archivo se abre en una versión más reciente de Excel. Más información: https://go.microsoft.com/fwlink/?linkid=870924
Comentario:
    Se incluye la línea educativa, por su naturaleza y coincidencia con la inclusión</t>
      </text>
    </comment>
    <comment ref="F37" authorId="17" shapeId="0" xr:uid="{3A085308-9717-4054-9E57-EE197DA2642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Curso que aborda contenido coherente con la inclusión
</t>
      </text>
    </comment>
    <comment ref="I39" authorId="18" shapeId="0" xr:uid="{F48D27C5-94B5-4055-8F4B-D4D28DFCAB1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vinculan los cursos de psicologia forense a este eje puesto que estos permiten analizar y comparar enfoques, normativas y prácticas en distintos países, favoreciendo el intercambio de conocimientos y el desarrollo de estrategias globales para la evaluación e intervención en el ámbito legal y judicial. </t>
      </text>
    </comment>
    <comment ref="F40" authorId="19" shapeId="0" xr:uid="{4E5C40B5-4B21-47B5-BE79-8B965F8B136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Curso que aborda contenido coherente con la inclusión
</t>
      </text>
    </comment>
  </commentList>
</comments>
</file>

<file path=xl/sharedStrings.xml><?xml version="1.0" encoding="utf-8"?>
<sst xmlns="http://schemas.openxmlformats.org/spreadsheetml/2006/main" count="964" uniqueCount="518">
  <si>
    <t>COMPETENCIA</t>
  </si>
  <si>
    <t>DEFINICIÓN DE LA COMPETENCIA</t>
  </si>
  <si>
    <t>RESULTADOS DE APRENDIZAJE</t>
  </si>
  <si>
    <t>1.Competencia comunicativa</t>
  </si>
  <si>
    <t xml:space="preserve">Interpretar y producir diferentes tipologías textuales en contextos académicos y sociales en lengua materna y   lengua extranjera, desde una perspectiva socio crítica, para desarrollar la capacidad de negociar y construir significados, en los ámbitos personal, profesional y cultural, haciendo un uso responsable y creativo de las TIC, en el marco de la ética de la comunicación. </t>
  </si>
  <si>
    <t>2.Ciudadanía Glocal</t>
  </si>
  <si>
    <t>Desempeñar roles académicos y/o socio-profesionales en contextos y exigencias diversas, aprovechando la universalidad del conocimiento y las potencialidades de interacción que facilitan las TIC, para insertarse en espacios multiculturales compartiendo experiencias de aprendizaje ubicuo y disruptivo, valorando la importancia de una actitud de aceptación de las diferencias en un mundo global.</t>
  </si>
  <si>
    <t>3. Juicio ético</t>
  </si>
  <si>
    <t>Construir criterios éticos propios, de convivencia ciudadana, que respalden el desempeño socio profesional y tomar decisiones para actuar en consecuencia, analizar la necesidad de aceptación consciente de la existencia del otro diverso y diferente, para fortalecer sus valores y actitudes frente a las normas en un contexto socio histórico que edifica la paz para una sociedad justa.</t>
  </si>
  <si>
    <t>4. Razonamiento cuantitativo</t>
  </si>
  <si>
    <t xml:space="preserve">Resolver problemas que involucren información cuantitativa y objetos matemáticos en distintos formatos (textos, tablas, gráficos, diagramas, esquemas) que permiten a un ciudadano tomar parte activa e informada en los contextos social, cultural, político, administrativo, económico, educativo y laboral. </t>
  </si>
  <si>
    <t>5. Gestión de conocimiento</t>
  </si>
  <si>
    <t>Gestionar el proceso de búsqueda, análisis, procesamiento de información teórica y empírica, que permita presentarla de manera escrita, oral, gráfica, con soporte TIC, valorando la importancia de los métodos y técnicas que le garantizan la coherencia objetiva y subjetiva, así como la ética y la crítica científica del proceso social de generación de nuevo conocimiento</t>
  </si>
  <si>
    <t xml:space="preserve">6. Pensamiento crítico, creativo e innovador  </t>
  </si>
  <si>
    <t>Establecer, ejecutar y controlar un plan para resolver problemas científicos o tecnológicos, mediante la colaboración de trabajo en equipo que potencie el emprendimiento, el pensamiento crítico, creativo e innovador, valorando la sostenibilidad de la propuesta desde su   impacto en lo social, económico, ambiental y tecnológico</t>
  </si>
  <si>
    <t>7.Fundamentos Epistemológicos  </t>
  </si>
  <si>
    <t>8. Desarrollo  psicológico</t>
  </si>
  <si>
    <t xml:space="preserve"> 
9. Medición y evaluación psicológica </t>
  </si>
  <si>
    <t xml:space="preserve">10. Intervención psicológica  </t>
  </si>
  <si>
    <t>ARTICULACIÓN ANÁLISIS DE CONTEXTO, COMPETENCIAS Y PERFILES</t>
  </si>
  <si>
    <t>PROBLEMAS PROFESIONALES/ NECESIDADES DEL CONTEXTO</t>
  </si>
  <si>
    <t>PROPÓSITO DE FORMACIÓN</t>
  </si>
  <si>
    <t>PERFILES</t>
  </si>
  <si>
    <t>COMPETENCIAS</t>
  </si>
  <si>
    <t xml:space="preserve"> - Alta prevalencia de trastornos psicológicos tales como depresión, ansiedad  y riesgo suicida como también  de  problemáticas asociadas a las enfermedades crónicas, transmisibles y no transmisibles.  
</t>
  </si>
  <si>
    <t xml:space="preserve">El Programa de Psicología de la Universidad Simón Bolívar establece los siguientes propósitos de formación:  
-Favorecer la formación de un sujeto, cuyo ejercicio de su autonomía le permita autoconocerse y ejercer dominio de sí mismo para participar en procesos de formación en valores que lo lleven a buscar su autodesarrollo y a la vez conquistar de manera progresiva su condición humana.                                                                                                                                                                                                                                                                                                                                                                                                                                                                                                                                                                                                                                                                                                                                                                                                                                                                                                                                                                                                                     -Desarrollar el pensamiento crítico e innovador, fomentando la comprensión y el manejo práctico de medios cuantitativos, así como el uso de herramientas tecnológicas, y de un segundo idioma, además del manejo de los medios de comunicación que le permita trabajar en entornos diferentes e interactuar eficientemente con otras personas, respetando la diversidad y las diferencias, promoviendo el autocuidado y el cuidado del otro,  estableciendo relaciones responsables con la sociedad y el medio ambiente natural. 
-Promover la capacidad de aprender a aprender y la capacidad metacognitiva para autorregular sus propios procesos de aprendizaje, favoreciendo experiencias formativas que logren en los profesionales de psicología la responsabilidad de desplegar su solidaridad, su sentido de justicia, su vocación de servicio y responsabilidad social con la búsqueda del desarrollo del ser.  
-Privilegiar el proceso de formación integral, que le permita el actuar profesional desde una posición ética humanista, en la que pueda interpretar, comprender, y comunicar el saber disciplinar profesional de la psicología en sus diversas perspectivas epistemológicas, teóricas y metodológicas que presentan los diferentes modelos psicológicos que abordan la dimensión psíquica del ser humano, visionando espacios concretos de profundización y reflexión del saber psicológico y de la praxis profesional en los múltiples escenarios de la acción humana: empresa, familia, escuela, sociedad en la dimensión salud-enfermedad de la vida afectiva y mental de las personas. </t>
  </si>
  <si>
    <t>La indeferencia  hacia los  problemas sociales que nos aquejan relacionados con la pobreza, el desempleo, la corrupción, la delincuencia, la violencia, la agresión hacia el otro y el medio ambiente, entre otros, generando un estado de pasividad y de desesperanza; dejándole a la Psicología el compromiso para con las personas y llamando la atención sobre esta realidad centradas en paradigmas y modelos que describan, expliquen, comprendan y transformen realidades sociales a partir de sus competencias</t>
  </si>
  <si>
    <t>En la complejidad y variabilidad del siglo XXI y en un mercado laboral competitivo, las organizaciones actuales a menudo enfrentan dificultades para identificar y contratar a los candidatos más adecuados para sus necesidades, igualmente problemas relacionados con el estrés laboral y la falta de bienestar emocional de los empleados, situación que se incrementa por el entorno laboral diverso y multicultural como el colombiano, generando los desacuerdos y las tensiones entre empleados, lo que puede afectar negativamente la productividad y generar un ambiente de trabajo poco saludable</t>
  </si>
  <si>
    <t>Las falencias en el diseño e implementación de planes de promoción, prevención e intervención en los contextos educativos, que alineados a los referentes legales a nivel nacional e internacional, respondan a los procesos de  orientación escolar y vocacional, inclusión educativa, problemas de aprendizaje y desarrollo de las competencias socioemocionales que favorezcan el desarrollo integral de las y los estudiantes de los diferentes niveles educativos</t>
  </si>
  <si>
    <t>PROGRAMA DE PSICOLOGIA</t>
  </si>
  <si>
    <t>MATRIZ DE SECUENCIACION DE COMPETENCIAS Y RESULTADOS DE APRENDIZAJE DEL PROGRAMA (RAP)</t>
  </si>
  <si>
    <t>COMPETENCIAS GENERICAS</t>
  </si>
  <si>
    <t>C1. Competencias Comunicativas</t>
  </si>
  <si>
    <t>C2. Ciudadanía Glocal</t>
  </si>
  <si>
    <t>C3. Jucio Ético</t>
  </si>
  <si>
    <t>C4. Razonamiento Cuantitativo</t>
  </si>
  <si>
    <t>C5. Gestión de Conocimiento</t>
  </si>
  <si>
    <t>C6. Pensamiento Crítico, Creativo e Innovador</t>
  </si>
  <si>
    <t>RESULTADOS DE APRENDIZAJE DEL PROGRAMA (RAP)</t>
  </si>
  <si>
    <t>RAP 1,1</t>
  </si>
  <si>
    <t>RAP 1,2</t>
  </si>
  <si>
    <t>RAP 1,3</t>
  </si>
  <si>
    <t>RAP 1,4</t>
  </si>
  <si>
    <t>RAP 2,1</t>
  </si>
  <si>
    <t>RAP 2,2</t>
  </si>
  <si>
    <t>RAP 2,3</t>
  </si>
  <si>
    <t>RAP 3,1</t>
  </si>
  <si>
    <t>RAP 3,2</t>
  </si>
  <si>
    <t>RAP 3,3</t>
  </si>
  <si>
    <t>RAP 4,1</t>
  </si>
  <si>
    <t>RAP 4,2</t>
  </si>
  <si>
    <t>RAP 4,3</t>
  </si>
  <si>
    <t>RAP 4,4</t>
  </si>
  <si>
    <t>RAP 5,1</t>
  </si>
  <si>
    <t>RAP 5,2</t>
  </si>
  <si>
    <t>RAP 5,3</t>
  </si>
  <si>
    <t>RAP 5,4</t>
  </si>
  <si>
    <t>RAP 6,1</t>
  </si>
  <si>
    <t>RAP 6,2</t>
  </si>
  <si>
    <t>RAP 6,3</t>
  </si>
  <si>
    <t>RAP 6,4</t>
  </si>
  <si>
    <t>Semestre</t>
  </si>
  <si>
    <t>Curso</t>
  </si>
  <si>
    <t>Tipo</t>
  </si>
  <si>
    <t>Créditos</t>
  </si>
  <si>
    <t>I</t>
  </si>
  <si>
    <t>Teórico</t>
  </si>
  <si>
    <t>Epistemología y Psicología</t>
  </si>
  <si>
    <t>Fundamentos Filosóficos de la Psicología</t>
  </si>
  <si>
    <t>II</t>
  </si>
  <si>
    <t>Escuelas Psicológicas</t>
  </si>
  <si>
    <t>Procesos Psicológicos I</t>
  </si>
  <si>
    <t>Teórico Práctico</t>
  </si>
  <si>
    <t>Psicobiológicas I</t>
  </si>
  <si>
    <t>III</t>
  </si>
  <si>
    <t>Procesos Psicológicos II</t>
  </si>
  <si>
    <t>Teoria</t>
  </si>
  <si>
    <t>Psicobiológicas II</t>
  </si>
  <si>
    <t>Psicología de la Personalidad</t>
  </si>
  <si>
    <t>IV</t>
  </si>
  <si>
    <t>Modelo Comportamental Cognitivo</t>
  </si>
  <si>
    <t>Psicología Clínica y de la Salud</t>
  </si>
  <si>
    <t>Modelo Psicoanalítico</t>
  </si>
  <si>
    <t>Psicometría</t>
  </si>
  <si>
    <t xml:space="preserve"> </t>
  </si>
  <si>
    <t>V</t>
  </si>
  <si>
    <t>Modelo Sistémico</t>
  </si>
  <si>
    <t>Psicología Aplicada a la Educación I</t>
  </si>
  <si>
    <t>Electiva Profesional I</t>
  </si>
  <si>
    <t>Modelo Humanístico</t>
  </si>
  <si>
    <t>VI</t>
  </si>
  <si>
    <t>Introducción a la Psicología Organizacional</t>
  </si>
  <si>
    <t>Psicología Social Y Aplicada</t>
  </si>
  <si>
    <t>Psicopatología I</t>
  </si>
  <si>
    <t>Electiva Profesional II</t>
  </si>
  <si>
    <t>Electiva Profesional III</t>
  </si>
  <si>
    <t>Psicología Aplicada a la Educación II</t>
  </si>
  <si>
    <t>Psicología Comunitaria</t>
  </si>
  <si>
    <t>Psicología Organizacional</t>
  </si>
  <si>
    <t>Psicopatología II</t>
  </si>
  <si>
    <t>VIII</t>
  </si>
  <si>
    <t>Práctica profesional</t>
  </si>
  <si>
    <t xml:space="preserve">Psicología Forense </t>
  </si>
  <si>
    <t>IX</t>
  </si>
  <si>
    <t>Prácticas Profesionales II (Electiva)</t>
  </si>
  <si>
    <t> Aquí se debe marcar con X cual es el nivel del curso en coherencia con el resultado de aprendizaje</t>
  </si>
  <si>
    <t>Competencia Comunicativa</t>
  </si>
  <si>
    <t>Competencia Ciudadanía Glocal</t>
  </si>
  <si>
    <t>NC1: Realizar un análisis y diagnostico comprensivo de las situaciones</t>
  </si>
  <si>
    <t>Competencia Juicio ético</t>
  </si>
  <si>
    <t>NC2: Diseñar y planificar modos adecuados de intervención</t>
  </si>
  <si>
    <t>Competencia Razonamiento Cuantitativa</t>
  </si>
  <si>
    <t>NC3: Actuación flexible, sensible, creativa y adaptativa</t>
  </si>
  <si>
    <t>Gestión del Conocimiento</t>
  </si>
  <si>
    <t>NC4: Valoración reflexiva de procesos y resultados/formulación de propuestas de mejoramiento</t>
  </si>
  <si>
    <t>Pensamiento Crítico</t>
  </si>
  <si>
    <t>NIVELES DE COMPLEJIDAD Y DE AUTONOMÍA EN EL DESARROLLO DE APRENDIZAJES Y COMPETENCIAS EN EL PROGRAMA DE PSICOLOGIA</t>
  </si>
  <si>
    <t xml:space="preserve">SEMESTRE </t>
  </si>
  <si>
    <t>COMPETENCIAS ESPECIFICAS</t>
  </si>
  <si>
    <t xml:space="preserve">7 Fundamentos epistemológico   </t>
  </si>
  <si>
    <t xml:space="preserve">8 Desarrollo  psicológico </t>
  </si>
  <si>
    <t xml:space="preserve">9  Medición y evaluación psicológica </t>
  </si>
  <si>
    <t>RAP 7.1</t>
  </si>
  <si>
    <t>RAP 7.2</t>
  </si>
  <si>
    <t>RAP 7.3</t>
  </si>
  <si>
    <t>RAP 8.1</t>
  </si>
  <si>
    <t>RAP 8.2</t>
  </si>
  <si>
    <t>RAP 8.3</t>
  </si>
  <si>
    <t>RAP 9.1</t>
  </si>
  <si>
    <t>RAP 9.2</t>
  </si>
  <si>
    <t>RAP 9.3</t>
  </si>
  <si>
    <t>RAP 9.4</t>
  </si>
  <si>
    <t>RAP 10.1</t>
  </si>
  <si>
    <t>RAP 10.2</t>
  </si>
  <si>
    <t>RAP 10.3</t>
  </si>
  <si>
    <t>RAP 10.4</t>
  </si>
  <si>
    <t>Fundamentos Epistemológicos</t>
  </si>
  <si>
    <t>Desrrollo Psicológico</t>
  </si>
  <si>
    <t>Medición y evaluación psicológica</t>
  </si>
  <si>
    <t>Intervención psicológica</t>
  </si>
  <si>
    <t>SEMESTRE</t>
  </si>
  <si>
    <t>CURSOS</t>
  </si>
  <si>
    <t>CREDITOS</t>
  </si>
  <si>
    <t>VII</t>
  </si>
  <si>
    <t>EJES TRANSVERSALES DEL PROGRAMA</t>
  </si>
  <si>
    <t>Ejes Transversales</t>
  </si>
  <si>
    <t>DESARROLLO SOSTENIBLE</t>
  </si>
  <si>
    <t xml:space="preserve"> INCLUSIÓN</t>
  </si>
  <si>
    <t>INVESTIGACIÓN</t>
  </si>
  <si>
    <t>INNOVACIÓN Y EMPRENDIMIENTO</t>
  </si>
  <si>
    <t>INTERNACIONALIZACIÓN</t>
  </si>
  <si>
    <t xml:space="preserve"> TIC</t>
  </si>
  <si>
    <t>TIPO</t>
  </si>
  <si>
    <t>X</t>
  </si>
  <si>
    <t>COMPETENCIAS ESPECIFICAS (PROGRAMA DE PSICOLOGÍA)</t>
  </si>
  <si>
    <t>COMPETENCIAS GENERICAS (INSTITUCIONALES)</t>
  </si>
  <si>
    <t>PROGRAMA</t>
  </si>
  <si>
    <t>REGION</t>
  </si>
  <si>
    <t>AREA</t>
  </si>
  <si>
    <t>2015-2</t>
  </si>
  <si>
    <t>2016-1</t>
  </si>
  <si>
    <t>2016-2</t>
  </si>
  <si>
    <t>2017-1</t>
  </si>
  <si>
    <t>2017-2</t>
  </si>
  <si>
    <t>2018-1</t>
  </si>
  <si>
    <t>2018-2</t>
  </si>
  <si>
    <t>2019-1</t>
  </si>
  <si>
    <t>2019-2</t>
  </si>
  <si>
    <t>TC</t>
  </si>
  <si>
    <t>HT</t>
  </si>
  <si>
    <t>HP</t>
  </si>
  <si>
    <t>TI</t>
  </si>
  <si>
    <t>CR</t>
  </si>
  <si>
    <t>%</t>
  </si>
  <si>
    <t xml:space="preserve">PSICOLOGÍA                                                          </t>
  </si>
  <si>
    <t>FORMACION GENERAL Y COMPLEMENTARIA</t>
  </si>
  <si>
    <t xml:space="preserve"> CIENCIAS SOCIALES Y HUMANAS </t>
  </si>
  <si>
    <t>Historia del Pensamiento Social Universal</t>
  </si>
  <si>
    <t xml:space="preserve">Socioantropología </t>
  </si>
  <si>
    <t>COMPETENCIAS GENERALES  
 (Sociales y Humanas)</t>
  </si>
  <si>
    <t>A</t>
  </si>
  <si>
    <t>COMPETENCIA COMUNICATIVA</t>
  </si>
  <si>
    <t>Competencia Comunicativa en Lengua Castellana I</t>
  </si>
  <si>
    <t>Competencia Comunicativa en Lengua Castellana II</t>
  </si>
  <si>
    <t>COMPETENCIAS GENERALES  
 (Competencias comunicativas)</t>
  </si>
  <si>
    <t>CIENCIAS EXACTAS</t>
  </si>
  <si>
    <t>Estadística I</t>
  </si>
  <si>
    <t>Estadística II</t>
  </si>
  <si>
    <t>COMPETENCIAS GENERALES  
 (Estadística)</t>
  </si>
  <si>
    <t>EPISTEMOLOGÍA E INVESTIGACIÓN CIENTÍFICA</t>
  </si>
  <si>
    <t>Epistemología y Psicologia</t>
  </si>
  <si>
    <t>Metodología de la Investigación Científica I</t>
  </si>
  <si>
    <t>Metodología de la Investigacion cientifica II</t>
  </si>
  <si>
    <t>COMPETENCIAS GENERALES  
 (Investigación)</t>
  </si>
  <si>
    <t>FORMACIÓN PROFESIONAL BÁSICA</t>
  </si>
  <si>
    <t>BÁSICA DISCIPLINAR</t>
  </si>
  <si>
    <t>FORMACIÓN INVESTIGATIVA</t>
  </si>
  <si>
    <t>Investigación en Ciencias Sociales y Humanas I</t>
  </si>
  <si>
    <t>Investigación en Ciencias Sociales y Humanas II</t>
  </si>
  <si>
    <t>Investigación en Ciencias Sociales y Humanas III</t>
  </si>
  <si>
    <t>Investigación en Ciencias Sociales y Humanas IV</t>
  </si>
  <si>
    <t>D</t>
  </si>
  <si>
    <t>2 Hs Asesoría</t>
  </si>
  <si>
    <t xml:space="preserve"> HISTORIA DE LA  PSICOLOGÍA Y MODELOS</t>
  </si>
  <si>
    <t>Fundamentos filosoficos de la Psicologia</t>
  </si>
  <si>
    <t>Escuelas psicologicas</t>
  </si>
  <si>
    <t>Modelo Sistemico</t>
  </si>
  <si>
    <t>ModeloHumanistico</t>
  </si>
  <si>
    <t>BASICA DISCIPLINAR</t>
  </si>
  <si>
    <t>B</t>
  </si>
  <si>
    <t>Modelo Psicoanalitico</t>
  </si>
  <si>
    <t>DISCIPLINAR</t>
  </si>
  <si>
    <t>PSICILOGÍA     INDIVIDUAL</t>
  </si>
  <si>
    <t>PSICOLOGÍA INDIVIDUAL</t>
  </si>
  <si>
    <t>PROCESOS PSICOLÓGICOS BÁSICOS</t>
  </si>
  <si>
    <t>PROCESOS PSICOLOGICOS BASICOS</t>
  </si>
  <si>
    <t>BASES PSICOBIOLÓGICAS DEL COMPORTAMIENTO</t>
  </si>
  <si>
    <t>Psicobiologicas I</t>
  </si>
  <si>
    <t>Psicobiologicas II</t>
  </si>
  <si>
    <t>Electiva  Disciplinar I</t>
  </si>
  <si>
    <t>BASES PSICOLÓGICAS DEL COMPORTAMIENTO</t>
  </si>
  <si>
    <t>DESARROLLO HUMANO</t>
  </si>
  <si>
    <t>Desarrollo Humano I</t>
  </si>
  <si>
    <t>Desarrollo Humano II</t>
  </si>
  <si>
    <t>MEDICIÓN Y EVALUACIÓN PSICOLÓGICA</t>
  </si>
  <si>
    <t xml:space="preserve">Psicometría </t>
  </si>
  <si>
    <t>Electiva Disciplinar II</t>
  </si>
  <si>
    <t>FORMACIÓN PROFESIONAL ESPECIFICA</t>
  </si>
  <si>
    <t>SOCIAL</t>
  </si>
  <si>
    <t xml:space="preserve">Psicología Social </t>
  </si>
  <si>
    <t>Psicología Social Aplicada</t>
  </si>
  <si>
    <t>Electiva  Interdisciplinar Social</t>
  </si>
  <si>
    <t>PSICOLOGÍA SOCIAL</t>
  </si>
  <si>
    <t>JURIDICO</t>
  </si>
  <si>
    <t xml:space="preserve">Bases Juridicas para la Psicologia </t>
  </si>
  <si>
    <t>Psicología Forense I</t>
  </si>
  <si>
    <t>Psicología Forense II</t>
  </si>
  <si>
    <t>PSICOLOGÍA JURIDICA</t>
  </si>
  <si>
    <t>CLINICA Y DE LA SALUD</t>
  </si>
  <si>
    <t xml:space="preserve"> Psicología Clínica y de la Salud</t>
  </si>
  <si>
    <t xml:space="preserve">Electiva Interdisciplinar  Clinica </t>
  </si>
  <si>
    <t>PSICOLOGÍA CLINICA Y DE LA SALUD</t>
  </si>
  <si>
    <t>Electiva Profesional  III</t>
  </si>
  <si>
    <t>EDUCATIVA</t>
  </si>
  <si>
    <t>Introduccion a la Pedagogia</t>
  </si>
  <si>
    <t>Didactica y Pedagogia</t>
  </si>
  <si>
    <t>PsicologíaAplicada a la Educacion I</t>
  </si>
  <si>
    <t>PsicologíaAplicada a la Educacion II</t>
  </si>
  <si>
    <t>Electiva Interdisciplinar  Educativa</t>
  </si>
  <si>
    <t>PSICOLOGÍA EDUCATIVA</t>
  </si>
  <si>
    <t>ORGANIZACIONAL</t>
  </si>
  <si>
    <t xml:space="preserve">Introducción a la Psicología Organizacional </t>
  </si>
  <si>
    <t xml:space="preserve">Psicología Organizacional </t>
  </si>
  <si>
    <t>Electiva Interdisciplinar  Organizacional</t>
  </si>
  <si>
    <t>PSICOLOGÍA ORGANIZACIONAL</t>
  </si>
  <si>
    <t xml:space="preserve">PRÁCTICA SOCIAL ESTUDIANTIL </t>
  </si>
  <si>
    <t xml:space="preserve">Práctica Social Estudiantil </t>
  </si>
  <si>
    <t>CAMPO ELECTIVO PRACTICAS</t>
  </si>
  <si>
    <t>C</t>
  </si>
  <si>
    <t>FORMACIÓN EN VALORES Y AUTODESARROLLO</t>
  </si>
  <si>
    <t>Crecimiento Intragrupal I</t>
  </si>
  <si>
    <t>Crecimiento Intragrupal II</t>
  </si>
  <si>
    <t>Crecimiento Intragrupal III</t>
  </si>
  <si>
    <t>Crecimiento Intragrupal IV</t>
  </si>
  <si>
    <t xml:space="preserve">Ética  </t>
  </si>
  <si>
    <t>VALORES Y AUTODESARROLLO</t>
  </si>
  <si>
    <t>CATEDRA BOLIVARIANA</t>
  </si>
  <si>
    <t>Cátedra Bolivariana</t>
  </si>
  <si>
    <t>Cultura y Deporte</t>
  </si>
  <si>
    <t>Instituciones Juridicas y Democracia</t>
  </si>
  <si>
    <t>Educacion para la Democracia</t>
  </si>
  <si>
    <t>INSTITUCIONES JURIDICAS Y DEMOCRACIA</t>
  </si>
  <si>
    <t>Desarrollo, Tecnología, Sociedad y Cultura</t>
  </si>
  <si>
    <t>Electiva de Sociohumanidades I</t>
  </si>
  <si>
    <t>Electiva de Sociohumanidades II</t>
  </si>
  <si>
    <t>Nombre de la Asignatura</t>
  </si>
  <si>
    <t>TOTALES</t>
  </si>
  <si>
    <t xml:space="preserve">TOTAL </t>
  </si>
  <si>
    <t>Tipo Crédito</t>
  </si>
  <si>
    <t xml:space="preserve">Total Créditos  </t>
  </si>
  <si>
    <t>Total Créditos Electivas</t>
  </si>
  <si>
    <t>c</t>
  </si>
  <si>
    <t>* PARA EGRESAR SE DEBE HABER CURSADO Y APROBADO UN MÍNIMO DE DOS (2) NIVELES ACADEMICOS DE INFORMATICA y SEIS (6) NIVELES ACADEMICOS DE INGLES</t>
  </si>
  <si>
    <t>Semestres de Proyección Social</t>
  </si>
  <si>
    <t xml:space="preserve">10 Intervención psicológica  </t>
  </si>
  <si>
    <t>Introducción a la Pedagogía</t>
  </si>
  <si>
    <t>Bases Juridicas para la Psicología</t>
  </si>
  <si>
    <t>Electiva Disciplinar I</t>
  </si>
  <si>
    <t xml:space="preserve">Didactica y Pedagogía </t>
  </si>
  <si>
    <t>Psicología Social  Aplicada</t>
  </si>
  <si>
    <t>Electiva Interdisciplinar Clinica</t>
  </si>
  <si>
    <t>Electiva Interdisciplinar Organizacional</t>
  </si>
  <si>
    <t>Electiva Interdisciplinar Educativa</t>
  </si>
  <si>
    <t>Electiva Interdisciplinar Social</t>
  </si>
  <si>
    <t>Prácticas Social Estudiantil</t>
  </si>
  <si>
    <t>Didactica y pedagogia</t>
  </si>
  <si>
    <t>Electiva Interdisciplinar clinica</t>
  </si>
  <si>
    <t xml:space="preserve">RAP 1,1 Producir textos expositivos y argumentativos a partir de la comprensión de su estructura y funciones.  </t>
  </si>
  <si>
    <t>RAP 1,2 Emplear estrategias discursivas en la interpretación y producción de textos disciplinares.</t>
  </si>
  <si>
    <t>RAP 1,3 Defender puntos de vista y resultados de investigación por medio de textos académicos investigativos</t>
  </si>
  <si>
    <t>RAP 1,4 Redactar textos según propósitos académicos y profesionales</t>
  </si>
  <si>
    <t>RAP 2,11 Reconocer diferentes situaciones sociales que promuevan el ejercicio de la ciudadanía, fundamentados en la Constitución Política de Colombia.</t>
  </si>
  <si>
    <t>RAP 2,2 Analizar las diferentes perspectivas, cosmovisiones, ideologías y roles sociales y ambientales que permitan generar argumentos y posiciones en situaciones de conflicto</t>
  </si>
  <si>
    <t>RAP 2,3 Formular estrategias para la apropiación social del conocimiento que fortalezcan la construcción de ciudadanía desde una dinámica local-regional -mundial</t>
  </si>
  <si>
    <t>RAP 3,2 Reconocer la praxis de los valores como condición fundamental, en la formación de un sujeto moral.</t>
  </si>
  <si>
    <t>RAP 3,3 Proponer alternativas de solución a situaciones desde distintas dimensiones, fundamentadas en una visión justa y consciente de la construcción de una sociedad ética.</t>
  </si>
  <si>
    <t>RAP 4,1 Identificar e interpretar información presentada en diferentes formatos como textos, graficas, tablas y esquemas, fundamentado en los pensamientos y operaciones matemática.</t>
  </si>
  <si>
    <t>RAP 4,2 Diseñar e implementar modelos que combinan procedimientos aritméticos, algebraicos, variacionales y aleatorios para resolver situaciones problemas en diferentes contextos.</t>
  </si>
  <si>
    <t xml:space="preserve">RAP 4,3 Desarrollar y valorar procesos de argumentación matemática que permita justificar los procedimientos implementados para solucionar problemas en diferentes contextos. </t>
  </si>
  <si>
    <t xml:space="preserve">RAP 5,1 Localizar, organizar y procesar información de manera crítica a través de las tecnologías de la comunicación y la información que permita generar conocimiento y la adecuada presentación en relación con las normas de escritura científica.  </t>
  </si>
  <si>
    <t xml:space="preserve">RAP 5,2 Aplicar el método científico para identificar las problemáticas del entorno y brindar soluciones acordes a su campo de estudio. 
 </t>
  </si>
  <si>
    <t>RAP 5,3 Gestionar el conocimiento para el avance de la ciencia y la solución de necesidades del entorno.</t>
  </si>
  <si>
    <t>RAP 5,4 Divulgar los resultados del proceso de gestión del conocimiento con el rigor académico formal y de contenido.</t>
  </si>
  <si>
    <t>RAP 6,1 Argumentar críticamente el objeto de conocimiento de su campo de estudio atendiendo a la realidad y las problemáticas del contexto a nivel local, nacional e internacional</t>
  </si>
  <si>
    <t>RAP 6,2 Diseñar proyectos novedosos e innovadores para resolver problemas en su ámbito de conocimiento</t>
  </si>
  <si>
    <t xml:space="preserve">RAP 6,3 Establecer planes para resolver problemas científicos o tecnológicos adaptados a las demandas y problemáticas afines a su campo de estudio, a partir de una postura reflexiva, flexible, creativa y de trabajo en equipo. </t>
  </si>
  <si>
    <t>RAP 6,4 Realizar una valoración de la sostenibilidad del plan propuesto para la resolución de problemas, desde su impacto en lo social, económico, ambiental y tecnológico.</t>
  </si>
  <si>
    <r>
      <rPr>
        <b/>
        <sz val="10"/>
        <rFont val="Trebuchet MS"/>
        <family val="2"/>
      </rPr>
      <t>Monitorear</t>
    </r>
    <r>
      <rPr>
        <sz val="10"/>
        <rFont val="Trebuchet MS"/>
        <family val="2"/>
      </rPr>
      <t xml:space="preserve"> modelos teóricos y epistemológico que responda a la generación de conocimiento científico para afrontar los desafíos contemporáneos de la psicología articulando estos saberes al devenir del ser humano en su contexto biológico, social y cultural. </t>
    </r>
  </si>
  <si>
    <r>
      <rPr>
        <b/>
        <sz val="10"/>
        <rFont val="Trebuchet MS"/>
        <family val="2"/>
      </rPr>
      <t xml:space="preserve">Considerar </t>
    </r>
    <r>
      <rPr>
        <sz val="10"/>
        <rFont val="Trebuchet MS"/>
        <family val="2"/>
      </rPr>
      <t>los fundamentos teóricos de los procesos psicológicos básicos, la psicología individual y de grupos a través de la revisión de las teorías psicológicas y evolutivas para  la comprensión del desarrollo integral del ser humano.</t>
    </r>
  </si>
  <si>
    <r>
      <t xml:space="preserve">
</t>
    </r>
    <r>
      <rPr>
        <b/>
        <sz val="10"/>
        <rFont val="Trebuchet MS"/>
        <family val="2"/>
      </rPr>
      <t xml:space="preserve">Proponer </t>
    </r>
    <r>
      <rPr>
        <sz val="10"/>
        <rFont val="Trebuchet MS"/>
        <family val="2"/>
      </rPr>
      <t xml:space="preserve"> programas interdisciplinares de intervención  para la solución de problemas psicológicos con base en los principios éticos y la normatividad vigente. 
</t>
    </r>
  </si>
  <si>
    <r>
      <rPr>
        <b/>
        <sz val="10"/>
        <rFont val="Trebuchet MS"/>
        <family val="2"/>
      </rPr>
      <t>RAP 7,1 Examinar</t>
    </r>
    <r>
      <rPr>
        <sz val="10"/>
        <rFont val="Trebuchet MS"/>
        <family val="2"/>
      </rPr>
      <t xml:space="preserve"> las teorías y principios epistémicos de la disciplina psicológica de una visión interdisciplinaria que permitan el reconocimiento de los problemas contemporáneos en diferentes contextos y propicien una visión integral del ser humano  </t>
    </r>
  </si>
  <si>
    <r>
      <rPr>
        <b/>
        <sz val="10"/>
        <rFont val="Trebuchet MS"/>
        <family val="2"/>
      </rPr>
      <t xml:space="preserve">RAP 7,2 Planear </t>
    </r>
    <r>
      <rPr>
        <sz val="10"/>
        <rFont val="Trebuchet MS"/>
        <family val="2"/>
      </rPr>
      <t>propuestas de intervención a partir de la identificación de los modelos teóricos y las categorías conceptuales que respondan a las necesidades del entorno  para  coadyuvar en la solución de los problemas psicológicos </t>
    </r>
  </si>
  <si>
    <r>
      <rPr>
        <b/>
        <sz val="10"/>
        <rFont val="Trebuchet MS"/>
        <family val="2"/>
      </rPr>
      <t>RAP 7,3 Desarrollar</t>
    </r>
    <r>
      <rPr>
        <sz val="10"/>
        <rFont val="Trebuchet MS"/>
        <family val="2"/>
      </rPr>
      <t xml:space="preserve"> propuestas de intervención  validando los referentes teóricos que sustentaron la propuesta planteada en el contexto social para la solución de problemas psicológicos  </t>
    </r>
  </si>
  <si>
    <r>
      <rPr>
        <b/>
        <sz val="10"/>
        <rFont val="Trebuchet MS"/>
        <family val="2"/>
      </rPr>
      <t>RAP 8,1 Integrar</t>
    </r>
    <r>
      <rPr>
        <sz val="10"/>
        <rFont val="Trebuchet MS"/>
        <family val="2"/>
      </rPr>
      <t xml:space="preserve"> las teorías psicológicas y evolutivas, desde diferentes enfoques que 
permitan una comprensión del desarrollo psicológico del ser humano. </t>
    </r>
  </si>
  <si>
    <r>
      <rPr>
        <b/>
        <sz val="10"/>
        <rFont val="Trebuchet MS"/>
        <family val="2"/>
      </rPr>
      <t>RAP 8,2 Diseñar</t>
    </r>
    <r>
      <rPr>
        <sz val="10"/>
        <rFont val="Trebuchet MS"/>
        <family val="2"/>
      </rPr>
      <t xml:space="preserve"> propuestas de análisis y/o intervención a partir de los principales problemas psicológicos para contribuir al desarrollo individual y grupal del ser humano </t>
    </r>
  </si>
  <si>
    <r>
      <rPr>
        <b/>
        <sz val="10"/>
        <rFont val="Trebuchet MS"/>
        <family val="2"/>
      </rPr>
      <t>RAP 8,3 Implementar</t>
    </r>
    <r>
      <rPr>
        <sz val="10"/>
        <rFont val="Trebuchet MS"/>
        <family val="2"/>
      </rPr>
      <t xml:space="preserve"> propuestas para la solución de problemas  psicológicos en el  desarrollo individual y grupal del ser humano </t>
    </r>
  </si>
  <si>
    <r>
      <rPr>
        <b/>
        <sz val="10"/>
        <rFont val="Trebuchet MS"/>
        <family val="2"/>
      </rPr>
      <t xml:space="preserve">RAP 9,1 Diferenciar </t>
    </r>
    <r>
      <rPr>
        <sz val="10"/>
        <rFont val="Trebuchet MS"/>
        <family val="2"/>
      </rPr>
      <t>la fundamentación teórica de los instrumentos de evaluación teniendo en cuenta el contexto ético y normativo para garantizar su adecuada comprensión e interpretación de los resultados. </t>
    </r>
  </si>
  <si>
    <r>
      <rPr>
        <b/>
        <sz val="10"/>
        <rFont val="Trebuchet MS"/>
        <family val="2"/>
      </rPr>
      <t>RAP 10,1 Analizar</t>
    </r>
    <r>
      <rPr>
        <sz val="10"/>
        <rFont val="Trebuchet MS"/>
        <family val="2"/>
      </rPr>
      <t xml:space="preserve"> los problemas relevantes con base a un modelo psicológico para la intervención individual y grupal, de acuerdo a las características y necesidades del contexto.</t>
    </r>
  </si>
  <si>
    <r>
      <rPr>
        <b/>
        <sz val="10"/>
        <rFont val="Trebuchet MS"/>
        <family val="2"/>
      </rPr>
      <t>RAP 10,3 Ejecutar</t>
    </r>
    <r>
      <rPr>
        <sz val="10"/>
        <rFont val="Trebuchet MS"/>
        <family val="2"/>
      </rPr>
      <t xml:space="preserve"> programas interdisciplinarios de intervención psicológica que promueven la salud mental y el bienestar de los individuos, grupos, organizaciones y comunidades, así como la prevención de problemas psicológicos.  </t>
    </r>
  </si>
  <si>
    <r>
      <rPr>
        <b/>
        <sz val="10"/>
        <rFont val="Trebuchet MS"/>
        <family val="2"/>
      </rPr>
      <t>RAP 10,4 Evaluar</t>
    </r>
    <r>
      <rPr>
        <sz val="10"/>
        <rFont val="Trebuchet MS"/>
        <family val="2"/>
      </rPr>
      <t xml:space="preserve"> los resultados de los programas de intervención psicológica teniendo en cuenta los principios éticos y la normativa vigente para prevenir los problemas psicológicos individuales y grupales. </t>
    </r>
  </si>
  <si>
    <r>
      <rPr>
        <b/>
        <sz val="10"/>
        <rFont val="Calibri"/>
        <family val="2"/>
        <scheme val="major"/>
      </rPr>
      <t xml:space="preserve">Perfil profesional </t>
    </r>
    <r>
      <rPr>
        <sz val="10"/>
        <rFont val="Calibri"/>
        <family val="2"/>
        <scheme val="major"/>
      </rPr>
      <t xml:space="preserve">
El Psicólogo de la Universidad Simón Bolívar es un profesional con un comportamiento ético y compromiso social, poseedor de una cultura académica disciplinar y profesional y en su ejercicio está en capacidad de:
•	Aplicar los principios y fundamentos epistemológicos de los diferentes modelos psicológicos que abordan la dimensión psíquica del ser humano de forma ética y científica para el desarrollo de estrategias de intervención.
•	Evaluar las necesidades psicosociales de la población en escenarios específicos.
•	Aplicar los conocimientos en atención primaria en la promoción de la salud integral y prevención de los problemas psicológicos
•	Diseñar y aplicar protocolos de evaluación en diversos ámbitos de análisis del ser humano 
•	Intervenir en salud psicosocial en diferentes escenarios y comunidades, promoviendo su desarrollo y bienestar integral.
•	Aplicar los conocimientos respetando las individualidades y la diversidad, asumiendo con responsabilidad ética su actuar personal y profesional.
•	Poseer las competencias éticas, legales y tecnológicas básicas que le permitan las actuaciones psicológicas a distancia haciendo uso de las TICs                                                                                                                                                       </t>
    </r>
    <r>
      <rPr>
        <b/>
        <sz val="10"/>
        <rFont val="Calibri"/>
        <family val="2"/>
        <scheme val="major"/>
      </rPr>
      <t xml:space="preserve">Perfil ocupacional                                                                                                                                                                                                                                                                                                                                                                                                                 </t>
    </r>
    <r>
      <rPr>
        <sz val="10"/>
        <rFont val="Calibri"/>
        <family val="2"/>
        <scheme val="major"/>
      </rPr>
      <t xml:space="preserve">El Psicólogo egresado de la Universidad Simón Bolívar es capaz de desempeñarse en los diferentes campos de acción de la Psicología:  </t>
    </r>
    <r>
      <rPr>
        <b/>
        <sz val="10"/>
        <rFont val="Calibri"/>
        <family val="2"/>
        <scheme val="major"/>
      </rPr>
      <t xml:space="preserve">
Social: 
</t>
    </r>
    <r>
      <rPr>
        <sz val="10"/>
        <rFont val="Calibri"/>
        <family val="2"/>
        <scheme val="major"/>
      </rPr>
      <t xml:space="preserve">Diseñar y aplicar procedimientos de evaluación, diagnóstico, intervención y consultoría 
Planificar, gestionar e implementar acciones, utilizando estrategias de Promoción y Prevención  
Evaluar de manera permanente los procesos de desarrollo comunitario de acuerdo con los resultados obtenidos en el curso de la implementación de planes y acciones de intervención. 
Construir informes psicosociales pertinentes a la información recolectada 
Velar por la confidencialidad a través del manejo ético y responsable de la información 
</t>
    </r>
    <r>
      <rPr>
        <b/>
        <sz val="10"/>
        <rFont val="Calibri"/>
        <family val="2"/>
        <scheme val="major"/>
      </rPr>
      <t xml:space="preserve">Educativa </t>
    </r>
    <r>
      <rPr>
        <sz val="10"/>
        <rFont val="Calibri"/>
        <family val="2"/>
        <scheme val="major"/>
      </rPr>
      <t xml:space="preserve">
Evaluar a los estudiantes para la identificación de dificultades a nivel cognitivo, social, afectivo y de rendimiento escolar  
Desarrollar planes de apoyo formativo y educacional para las adecuaciones curriculares en poblaciones con necesidades educativas especiales. 
Diseñar y ejecutar proyectos educativos. 
Velar por la confidencialidad a través del manejo ético y responsable de la información. 
</t>
    </r>
    <r>
      <rPr>
        <b/>
        <sz val="10"/>
        <rFont val="Calibri"/>
        <family val="2"/>
        <scheme val="major"/>
      </rPr>
      <t xml:space="preserve">Clínica </t>
    </r>
    <r>
      <rPr>
        <sz val="10"/>
        <rFont val="Calibri"/>
        <family val="2"/>
        <scheme val="major"/>
      </rPr>
      <t xml:space="preserve">
Evaluar problemáticas en salud mental para la implementación de estrategias de intervención de acuerdo con las necesidades detectadas 
Diseñar y ejecutar estrategias de intervención de Promoción y Prevención para la mejora de la calidad de vida y el bienestar de los individuos 
Establecer relaciones interdisciplinares para el abordaje integral de las problemáticas en salud mental. 
Velar por la confidencialidad a través del manejo ético y responsable de la información. 
</t>
    </r>
    <r>
      <rPr>
        <b/>
        <sz val="10"/>
        <rFont val="Calibri"/>
        <family val="2"/>
        <scheme val="major"/>
      </rPr>
      <t xml:space="preserve">Organizacional </t>
    </r>
    <r>
      <rPr>
        <sz val="10"/>
        <rFont val="Calibri"/>
        <family val="2"/>
        <scheme val="major"/>
      </rPr>
      <t xml:space="preserve">
Diseñar y aplicar procedimientos de evaluación, intervención y consultoría, para el fortalecimiento de los procesos en el ámbito organizacional. 
Plantear propuestas y proyectos que le permitan gestionar los procesos propios del área: Selección De Personal, Capacitación Y Formación, SG-SST, Clima Y Cultura Organizacional y Bienestar Laboral. 
Velar por la confidencialidad a través del manejo ético y responsable de la información. 
</t>
    </r>
    <r>
      <rPr>
        <b/>
        <sz val="10"/>
        <rFont val="Calibri"/>
        <family val="2"/>
        <scheme val="major"/>
      </rPr>
      <t xml:space="preserve">Jurídica </t>
    </r>
    <r>
      <rPr>
        <sz val="10"/>
        <rFont val="Calibri"/>
        <family val="2"/>
        <scheme val="major"/>
      </rPr>
      <t xml:space="preserve">
Aplicar los conocimientos básicos de la psicología y ley para la comprensión del rol que cumple un psicólogo forense en sus diferentes campos de acción.  
Intervenir en los procesos jurídicos encaminados al análisis de las conductas criminales y de víctimas.  
Velar por la confidencialidad a través del manejo ético y responsable de la información. 
</t>
    </r>
  </si>
  <si>
    <r>
      <rPr>
        <b/>
        <sz val="10"/>
        <rFont val="Calibri"/>
        <family val="2"/>
        <scheme val="major"/>
      </rPr>
      <t xml:space="preserve">Fundamentos Epistomológicos
</t>
    </r>
    <r>
      <rPr>
        <sz val="10"/>
        <rFont val="Calibri"/>
        <family val="2"/>
        <scheme val="major"/>
      </rPr>
      <t>Monitorear modelos teóricos y epistemológico que responda a la generación de conocimiento científico para afrontar los desafíos contemporáneos de la psicología articulando estos saberes al devenir del ser humano en su contexto biológico, social y cultural. </t>
    </r>
  </si>
  <si>
    <t>*RAP 7,1 Examinar las teorías y principios epistémicos de la disciplina psicológica de una visión interdisciplinaria que permitan el reconocimiento de los problemas contemporáneos en diferentes contextos y propicien una visión integral del ser humano             
 *RAP 7,2 Planear propuestas de intervención a partir de la identificación de los modelos teóricos y las categorías conceptuales que respondan a las necesidades del entorno  para  coadyuvar en la solución de los problemas psicológicos                                                                              * RAP 7,3 Desarrollar propuestas de intervención  validando los referentes teóricos que sustentaron la propuesta planteada en el contexto social para la solución de problemas psicológicos  </t>
  </si>
  <si>
    <r>
      <rPr>
        <b/>
        <sz val="10"/>
        <rFont val="Calibri"/>
        <family val="2"/>
        <scheme val="major"/>
      </rPr>
      <t>Desarrollo Psicológico:</t>
    </r>
    <r>
      <rPr>
        <sz val="10"/>
        <rFont val="Calibri"/>
        <family val="2"/>
        <scheme val="major"/>
      </rPr>
      <t xml:space="preserve">                                        Considerar los fundamentos teóricos de los procesos psicológicos básicos, la psicología individual y de grupos a través de la revisión de las teorías psicológicas y evolutivas para  la comprensión del desarrollo integral del ser humano.</t>
    </r>
  </si>
  <si>
    <t>*RAP 8,1 Integrar las teorías psicológicas y evolutivas, desde diferentes enfoques que 
permitan una comprensión del desarrollo psicológico del ser humano.                                                                                                                    
 *RAP 8,2 Diseñar propuestas de análisis y/o intervención a partir de los principales problemas psicológicos para contribuir al desarrollo individual y grupal del ser humano  psicológicos  en el desarrollo individual y grupal del ser humano .                                                                                                      *RAP 8,3 Implementar propuestas para la solución de problemas  psicológicos en el  desarrollo individual y grupal del ser humano </t>
  </si>
  <si>
    <r>
      <rPr>
        <b/>
        <sz val="10"/>
        <rFont val="Calibri"/>
        <family val="2"/>
        <scheme val="major"/>
      </rPr>
      <t xml:space="preserve">Medición y Evaluación psicológica
</t>
    </r>
    <r>
      <rPr>
        <sz val="10"/>
        <rFont val="Calibri"/>
        <family val="2"/>
        <scheme val="major"/>
      </rPr>
      <t xml:space="preserve">Validar los instrumentos de medición y evaluación psicológica  con el objetivo de cuantificar y cualificar las características humanas individuales y grupales y de esta forma objetivizar los procesos de evaluación..  </t>
    </r>
  </si>
  <si>
    <t>*RAP 9,1 Diferenciar la fundamentación teórica de los instrumentos de evaluación teniendo en cuenta el contexto ético y normativo para garantizar su adecuada comprensión e interpretación de los resultados.                                                                                                                                 *RAP 9,2 Planear el uso de los instrumentos de evaluación de acuerdo con las problemáticas psicológicas para garantizar el objetivo de la evaluación                                                                                            
 * RAP 9,3Utilizar  los instrumentos de medición y evaluación psicológica  de manera ética y objetiva que garantice la confiabilidad de los resultados.                                                                                                                         
  *RAP 9,4 Evaluar  los resultados de manera reflexiva y crítica para la elaboración y sistematización de datos obtenidos </t>
  </si>
  <si>
    <r>
      <t xml:space="preserve">
</t>
    </r>
    <r>
      <rPr>
        <b/>
        <sz val="10"/>
        <rFont val="Calibri"/>
        <family val="2"/>
        <scheme val="major"/>
      </rPr>
      <t xml:space="preserve">Intervención Psicológica
</t>
    </r>
    <r>
      <rPr>
        <sz val="10"/>
        <rFont val="Calibri"/>
        <family val="2"/>
        <scheme val="major"/>
      </rPr>
      <t xml:space="preserve">
Proponer  programas interdisciplinares de intervención  para la solución de problemas psicológicos con base en los principios éticos y la normatividad vigente. </t>
    </r>
  </si>
  <si>
    <r>
      <rPr>
        <b/>
        <sz val="10"/>
        <rFont val="Trebuchet MS"/>
        <family val="2"/>
      </rPr>
      <t>RAP 10,2 Diseñar</t>
    </r>
    <r>
      <rPr>
        <sz val="10"/>
        <rFont val="Trebuchet MS"/>
        <family val="2"/>
      </rPr>
      <t xml:space="preserve"> programas de intervención psicológica que promuevan la salud mental, la calidad de vida y el bienestar de los individuos, grupos, organizaciones y comunidades, así como la prevención de problemas psicológicos.  </t>
    </r>
  </si>
  <si>
    <t>*RAP 10,1 Analizar los problemas relevantes con base a un modelo psicológico para la intervención individual y grupal, de acuerdo a las características y necesidades del contexto.               
*RAP 10,2 Diseñar programas de intervención psicológica que promuevan la salud mental, la calidad de vida y el bienestar de los individuos, grupos, organizaciones y comunidades, así como la prevención de problemas psicológicos.                                                                                                                  *RAP 10,3 Ejecutar programas interdisciplinarios de intervención psicológica que promueven la salud mental y el bienestar de los individuos, grupos, organizaciones y comunidades, así como la prevención de problemas psicológicos.                                                                                                           *RAP 10,4 Evaluar los resultados de los programas de intervención psicológica teniendo en cuenta los principios éticos y la normativa vigente para prevenir los problemas psicológicos individuales y grupales. </t>
  </si>
  <si>
    <t>RAP 3,1 Comprender al otro desde la diversidad y la diferencia, promoviendo un nivel de conciencia hacia la responsabilidad de su sentido de vida, de su historia y de su contexto sociocultural. NC 1</t>
  </si>
  <si>
    <t>RAP Resultado de aprendizaje
NC Nivel de complejidad</t>
  </si>
  <si>
    <t xml:space="preserve">NIVEL DE LA COMPETENCIA </t>
  </si>
  <si>
    <t>RESULTADOS DE APRENDIZAJE ESPECIFICOS</t>
  </si>
  <si>
    <t>MECANISMOS DE EVALUACIÓN</t>
  </si>
  <si>
    <t>Identificar en sí mismo y en el otro los principios básicos de convivencia, que posibilitan el desarrollo dialógico, el establecimiento de vínculos y ciudadanía. (2)</t>
  </si>
  <si>
    <t>Reconocer las aptitudes y actitudes que posibilitan una interacción consciente, a partir de la diferencia y diversidad que caracteriza el ser, desde la igualdad de género. (1)
- ODS 5</t>
  </si>
  <si>
    <t>Analizar la expericia estética a partir de las expresiones artisticas, culturales y acciones corporales dirigidas a la salud y bienestar, como reflejo de la interacción ciudadana del contexto, a través, de la producción y el consumo responsable. (3) 
- ODS 3, 12</t>
  </si>
  <si>
    <t>RÚBRICA ANALÍTICA</t>
  </si>
  <si>
    <t xml:space="preserve">NC2: Diseñar y planificar modos adecuados de intervención
</t>
  </si>
  <si>
    <t>Evidenciar los valores que reconoce como propios, en la gestión de situaciones cotidianas, fortaleciendo habilidades para la toma de decisiones. (4)</t>
  </si>
  <si>
    <t>Suscitar alternativas de trasformación de conflictos, reconociendo actitudes, sentimientos y comportamientos que le facilitan la comparación de perspectivas de diferentes actores, en pro de una interacción social con consciencia y justicia. (5)</t>
  </si>
  <si>
    <t xml:space="preserve">NC3: Actuación flexible, sensible, creativa y adaptativa. 
NC4: Valoración reflexiva de procesos y resultados/formulación de propuestas de mejoramiento"
</t>
  </si>
  <si>
    <t xml:space="preserve">Interpretar las relaciones que existen entre diferentes dimensiones presentes en condiciones de conflicto, sus efectos y consecuencias. (6) 
- Para el caso de programas de octavo y noveno  semestre se trabajaría este resultado en el 6 semestre </t>
  </si>
  <si>
    <t xml:space="preserve"> 
Resolver situaciones como ciudadano responsable, en escenarios sociales y sostenible. (7) 
 Para el caso de programas de octavo y noveno  semestre se trabajaría este resultado en el 6 semestre </t>
  </si>
  <si>
    <t xml:space="preserve">Aplicar estrategias de trabajo en equipo mediante habilidades de comunicación y empatía, con una perspectiva de responsabilidad social. (8)
Para el caso de programas programas de octavo y noveno semestre se trabajaría este resultado en el 7 semestre 
</t>
  </si>
  <si>
    <t xml:space="preserve">Formular iniciativas ciudadanas desde un enfoque de responsabilidad social, que fomenten Paz, justicia e instituciones solidas. (9)
- ODS 16
Para el caso de programas programas de octavo y noveno semestre se trabajaría este resultado en el 7 semestre </t>
  </si>
  <si>
    <t>Conocer las características y principios de la constitución política para la protección de la diversidad cultural, étnica y ambiental (1) *ODS 10 - 6</t>
  </si>
  <si>
    <t>Identificar en las diferentes situaciones sociales la promoción y/o vulneración de los derechos fundamentales, sociales, económicos, culturales y deberes del ciudadanos, atendiendo a principios de alteridad.(2) *ODS 16</t>
  </si>
  <si>
    <t>Realizar análisis compresivo de la orgaización del estado y  los diferentes mecanismos de participación ciudadana en garantía de sus derechos. (3) .ODS 16.</t>
  </si>
  <si>
    <t xml:space="preserve">Rúbricas Análiticas </t>
  </si>
  <si>
    <t>Evalúar los discursos o enunciados que se generan a partir de las diversas perspectivas sociales, culturales, políticas, económicas y ambientales frente a una situación de conflicto donde interactúan diferentes partes. (4). ODS 10 -16.</t>
  </si>
  <si>
    <t xml:space="preserve">Proponer modelos de complementariedad que hagan frente a situaciones de conflicto que comprometan aspectos sociales y ambientales en comunidades tanto a escala local, nacional y global.(5) *ODS 5 -  13 - 16 </t>
  </si>
  <si>
    <t>NC3: Actuación flexible, sensible, creativa y adaptativa. 
NC4: Valoración reflexiva de procesos y resultados/formulación de propuestas de mejoramiento</t>
  </si>
  <si>
    <t xml:space="preserve">Comprender las dinámicas de interacción social, cultural, político, económico y ambiental entre lo local y global como fundamento para construcción de ciudadanía, de paz y el fortalecimiento del tejido social desde la alteridad. (6)  (Para el caso de  programas académicos de 8 y 9 semestres, se trabajará este resultado en 6 semestre)  ODS 1 -10 - 16           </t>
  </si>
  <si>
    <t>Desarrollar estretagias de apropiación social del conocimiento que desmuestren las capacidades y saberes a favor de la construcción de paz y el fortalecimiento del tejido social desde la alteridad.(7). (Para el caso de  programas académicos de 8 y 9 semestres, se trabajará este resultado en 6 semestre)      *ODS 16.</t>
  </si>
  <si>
    <t>Crear redes de aprendizaje colaborativo  donde la globalización y  las TIC  promueven el trabajo en equipo, los saberes en ciudadanía, territorio, gobernanza e identidades locales. (8)  (Para el caso de  programas académicos de 8 y 9 semestres, se trabajará este resultado en 7 semestre) *ODS 9</t>
  </si>
  <si>
    <t>Resuelver situaciones de conflicto desde la formación personal y profesional en torno a la responsabiliad social,  para la transformación de las realidades sociales y humanas que apunten a la construcción de paz. (9) (Para el caso de  programas académicos de 8 y 9 semestre, se trabajará este resultado en 7 semestre)     *ODS 16</t>
  </si>
  <si>
    <t>NC1: Realizar un análisis y diagnóstico comprensivo de las situaciones.</t>
  </si>
  <si>
    <t>1. Entender los eventos, ideas, afirmaciones y demás elementos locales que conforman  los diferentes géneros discursivos y  tipologías textuales, así como las relaciones que se establecen entre ellos.  (Reseñas descriptivas y críticas).</t>
  </si>
  <si>
    <t xml:space="preserve">2. Elaborar un texto Argumentativo  a partir de la  comprensión de su estructura (introducción, desarrollo y conclusión) y su función (Ensayo argumentativo).  </t>
  </si>
  <si>
    <t>NC2: Diseñar y planificar modos adecuados de intervención.</t>
  </si>
  <si>
    <t>3. Establecer la validez de las afirmaciones en un texto expositivo-argumentativo (relatoría informativa, argumentativa, hibrida  e informe de laboratorio).</t>
  </si>
  <si>
    <t xml:space="preserve"> 4. Asumir una postura crítica frente a una situación problemática de la realidad (textos de opinión, monografía, protocolos).</t>
  </si>
  <si>
    <t>5. Realizar la búsquedad y el procesamiento de información especializada para fundamentar sus producciones textuales (textos argumentativos e informes expositivos, interpretativos y demostrativos)</t>
  </si>
  <si>
    <t xml:space="preserve">"NC3: Actuación flexible, sensible, creativa y adaptativa.                        NC4: Valoración reflexiva de procesos y resultados/formulación de propuestas de mejoramiento
"
</t>
  </si>
  <si>
    <t>6. Determinar  las funciones de las secuencias expositivas y argumentativas en textos de investigación (artículos científicos, ponencias, textos especializados y divulgativos en general).</t>
  </si>
  <si>
    <t>7.   Abordar aspectos problemáticos de la realidad mediante la planeación y escritura de un texto de investigación</t>
  </si>
  <si>
    <t>8. Sustentar un planteamiento en textos académicos e investigativos (Ponencias, capítulos,trabajos de investigación y textos científicos).</t>
  </si>
  <si>
    <t xml:space="preserve">NC4: Valoración reflexiva de procesos y resultados/formulación de propuestas de mejoramiento
</t>
  </si>
  <si>
    <t>9. Emplear el tipo de texto adecuado al propósito y a la situación comunicativa del campo académico y profesional  (Bitácoras, trabajos académicos, reseñas, estudio de casos, texto científico)                                                                                                    *En los programas de ocho semestres este resultado se alcanza en el octavo semestre</t>
  </si>
  <si>
    <t xml:space="preserve"> 10. Hacer uso de estrategias discursivas pertinentes para el ejercicio académico y profesional según el propósito, la situación y la necesidad comunicativa   (Bitácoras, trabajos académicos, reseñas, estudio de casos, texto científico)                                                             *En los programas de ocho semestres este resultado se alcanza en el octavo semestre</t>
  </si>
  <si>
    <t xml:space="preserve">NC1: Realizar un análisis y diagnóstico comprensivo de las situaciones
</t>
  </si>
  <si>
    <t>Reconocer y extraer información cuantitativa relevante, explícita o implícita
presentada en textos, tablas, gráficas y esquemas.</t>
  </si>
  <si>
    <t xml:space="preserve">Reconocer diferencias entre representaciones semióticas
de datos asociados a un mismo contexto. (Social, cultural, político, administrativo,
económico, educativo y laboral).
</t>
  </si>
  <si>
    <t>Usar un lenguaje matemático apropiado para transformar y representar diferentes premisas matemáticas.</t>
  </si>
  <si>
    <t>Comprender situaciones problemas y planificar procedimientos matemáticos válidos para la resolución del mismo.</t>
  </si>
  <si>
    <t>Plantear modelos o estrategias desde el contexto de la matemática para la solución de problemas en diferentes contextos.</t>
  </si>
  <si>
    <t xml:space="preserve">Ejecutar un plan para la solución de un problema en el contexto de la matemática como en situaciones de la vida diaria. </t>
  </si>
  <si>
    <t xml:space="preserve">NC3: Actuación flexible, sensible, creativa y adaptativa. 
NC4: Valoración reflexiva de procesos y resultados/formulación de propuestas de mejoramiento"
</t>
  </si>
  <si>
    <t>Elaborar argumentos desde el contexto de la matemática para sustentar, justificar o refutar la solución a un problema.</t>
  </si>
  <si>
    <t xml:space="preserve">
Comparar procedimientos de solución a un mismo problema y las soluciones obtenidas.
</t>
  </si>
  <si>
    <t xml:space="preserve">Establecer criterios de validez y pertinencia de los argumentos 
dados en la solución de situaciones problemas. </t>
  </si>
  <si>
    <t>RÚBRICA ANALÍTICA                      PRUEBA OBJETIVA                                      PRUEBA TIPO ENSAYO                                 MODELO BASADO EN EVIDENCIAS</t>
  </si>
  <si>
    <t>NC1: Realizar un
análisis y diagnóstico
comprensivo de las
situaciones</t>
  </si>
  <si>
    <t>NC2: Diseñar y
planificar modos
adecuados
De intervención</t>
  </si>
  <si>
    <t>NC3: Actuar flexible, sensible, creativa y adaptativamente.</t>
  </si>
  <si>
    <t>NC4: Valorar reflexivamente los procesos y resultados, así como formular propuestas de mejoramiento</t>
  </si>
  <si>
    <t>NC2: Diseñar y
planificar modos
adecuados de intervención</t>
  </si>
  <si>
    <t>x</t>
  </si>
  <si>
    <t>5.1.1 Usar de manera crítica y ética las tecnologías de la información y la comunicación para localizar y organizar la información.</t>
  </si>
  <si>
    <t>5.1.2 Procesar información científica relevante y actualizada de su campo de estudio para comunicar ideas de manera coherente y comprensible.</t>
  </si>
  <si>
    <t>5.1.3 Identificar redes de conocimiento que viabilicen la reutilización del conocimiento previo.</t>
  </si>
  <si>
    <t>5.2.4 Describir los factores asociados a un problema del contexto dentro del ámbito del conocimiento disciplinar e interdisciplinar.</t>
  </si>
  <si>
    <t xml:space="preserve">5.2.5 Caracterizar la (s) variable (s) de estudio para brindar soluciones acordes con la realidad y el contexto.     </t>
  </si>
  <si>
    <t xml:space="preserve">5.2.6 Aplicar el diseño metodológico pertinente para lograr los objetivos del proceso de investigación. </t>
  </si>
  <si>
    <t>5.3.7 Analizar y construir con la comunidad focalizada, las alternativas para la solución de las necesidades del entorno.</t>
  </si>
  <si>
    <t xml:space="preserve">5.3.8 Proponer estrategias a partir de los fundamentos en el proceso de gestión del conocimiento. </t>
  </si>
  <si>
    <t xml:space="preserve">5.4.8 Aplicar las normas éticas para la divulgación del conocimiento.   </t>
  </si>
  <si>
    <t>5.4.9 Construir textos acordes con las normas establecidas de la escritura científica para la generación de nuevo conocimiento.</t>
  </si>
  <si>
    <t>NC1: Realizar un
análisis y diagnostico omprensivo de las situaciones</t>
  </si>
  <si>
    <t xml:space="preserve">6.1.2 Describir críticamente problemáticas científicas o tecnológicas a partir de la teoría y de las características del contexto local, nacional o internacional.  </t>
  </si>
  <si>
    <t xml:space="preserve">6.1.3 Argumentar desde una postura disciplinar e interdisciplinar, las características de un problema científico o tecnológico, teniendo en cuenta los factores sociales, económicos, políticos, ambientales, entre otros.   </t>
  </si>
  <si>
    <t>6.1.1 Identificar un problema científico o tecnológico a partir de la teoría y de las características del contexto</t>
  </si>
  <si>
    <t xml:space="preserve">6.2.4 Proponer diversas alternativas para la solución de un problema con el fin de seleccionar la de mayor valor agregado. </t>
  </si>
  <si>
    <t xml:space="preserve">6.2.5 Revisar los antecedentes de un problema de estudio y sustentar las teorías que lo fundamentan. </t>
  </si>
  <si>
    <t>6.2.6 Diseñar una propuesta metodológica de un proyecto o plan innovador para dar respuesta a un desafío o problemática.</t>
  </si>
  <si>
    <t>6.3.7 Aplicar un plan o un proyecto para resolver una necesidad o problema a partir de una actuación ética, reflexiva, flexible, creativa y de trabajo en equipo.</t>
  </si>
  <si>
    <t>6.4.8 Estimar los alcances y las limitaciones de un plan o proyecto de intervención para la solución de una problemática del contexto.</t>
  </si>
  <si>
    <t>6.4.9 Analizar los riesgos de un plan o proyecto de intervención, para establecer medidas de prevención y protección que contribuyan a su sostenibilidad.</t>
  </si>
  <si>
    <t>6.4.9 Describir el impacto de un plan o proyecto de intervención, en el ámbito social, económico, ambiental, tecnológico, entre otros.</t>
  </si>
  <si>
    <r>
      <rPr>
        <b/>
        <sz val="10"/>
        <rFont val="Trebuchet MS"/>
        <family val="2"/>
      </rPr>
      <t xml:space="preserve">Evaluar </t>
    </r>
    <r>
      <rPr>
        <sz val="10"/>
        <rFont val="Trebuchet MS"/>
        <family val="2"/>
      </rPr>
      <t xml:space="preserve">las dimensiones del ser humano mediante el diseño y/o aplicación de instrumentos psicológicos con el objetivo de cuantificar y cualificar las características individuales y grupales en las diferentes áreas de la psicología. .  </t>
    </r>
  </si>
  <si>
    <r>
      <rPr>
        <b/>
        <sz val="10"/>
        <rFont val="Trebuchet MS"/>
        <family val="2"/>
      </rPr>
      <t xml:space="preserve">RAP 9,2 Planear el uso </t>
    </r>
    <r>
      <rPr>
        <sz val="10"/>
        <rFont val="Trebuchet MS"/>
        <family val="2"/>
      </rPr>
      <t>de los instrumentos de evaluación de acuerdo con las problemáticas psicológicas para garantizar el objetivo establecido.    </t>
    </r>
  </si>
  <si>
    <r>
      <rPr>
        <b/>
        <sz val="10"/>
        <rFont val="Trebuchet MS"/>
        <family val="2"/>
      </rPr>
      <t xml:space="preserve">RAP 9,3 Utilizar  </t>
    </r>
    <r>
      <rPr>
        <sz val="10"/>
        <rFont val="Trebuchet MS"/>
        <family val="2"/>
      </rPr>
      <t>los instrumentos de medición y evaluación psicológica en un marco ético y objetivo para garantizar la confiabilidad de los resultados. </t>
    </r>
  </si>
  <si>
    <r>
      <rPr>
        <b/>
        <sz val="10"/>
        <rFont val="Trebuchet MS"/>
        <family val="2"/>
      </rPr>
      <t xml:space="preserve">RAP 9,4 Valorar </t>
    </r>
    <r>
      <rPr>
        <sz val="10"/>
        <rFont val="Trebuchet MS"/>
        <family val="2"/>
      </rPr>
      <t xml:space="preserve">los resultados de manera reflexiva y crítica para la elaboración de perfiles individuales y/o grupales. </t>
    </r>
  </si>
  <si>
    <t xml:space="preserve">NC3: Actuación flexible, sensible, creativa y adaptativa. </t>
  </si>
  <si>
    <t>7.1.1.
Explicar los modelos teoricos y principios epistemologícos de la Psicología para desarrollar una postura critica en el análisis de los problemas contemporaneos en diferentes contextos.</t>
  </si>
  <si>
    <t xml:space="preserve">7.1.2. Distinguir las bases teoricas de los procesos psicologicos básicos,  de acuerdo a su interacción con el entorno para la comprensión de la estructura del psiquismo humano </t>
  </si>
  <si>
    <t>7.2.1. Elaborar un análisis diagnóstico de la situación problemática a partir de los conceptos claves y principios básicos de los modelos teóricos, epistemológicos y metodológicos para contribuir a las soluciones de las problemáticas analizadas</t>
  </si>
  <si>
    <t xml:space="preserve">7.2.2  Construir un plan de intervención a partir de la identificación de los modelos teóricos y las categorías conceptuales que respondan a las necesidades del entorno  para  coadyuvar en la solución de los problemas psicológicos. </t>
  </si>
  <si>
    <t>7.2.3 Producir un plan de intervención  teniendo en cuenta la normatividad y los marcos teóricos abordados para la solución de conflictos famiiares, laborales y sociales</t>
  </si>
  <si>
    <t>7.3.2 Efectuar los planes de intervención  para potencializar habilidades y destrezas en los contextos educativos y laborales</t>
  </si>
  <si>
    <t>8.1.1. Articular las bases teóricas de los procesos psicológicos básicos  considerando los diferentes modelos teóricos para la comprensión del desarrollo integral del ser humano</t>
  </si>
  <si>
    <t>8.1.2. Determinar los principios de las teorías de la personalidad  desde las diferentes perspectivas psicológicas para la comprensión del comportamiento humano</t>
  </si>
  <si>
    <t>8.2.1 Construir una propuesta de intervención  en las diferentes etapas del ciclo vital en escenarios educativos, clínicos y sociales para contribuir con el bienestar integral del ser humano y la comunidad</t>
  </si>
  <si>
    <t>8.2.2 Idear estrategias  aplicables a las problemáticas psicologicas de acuerdo a los diferentes modelos teóricos  para la comprensión del psiquismo del ser humano</t>
  </si>
  <si>
    <t>8.2.3. Generar un plan de evaluación y diagnóstico psicológico considerando enfoques terapéuticos y estrategias de prevención para la promoción de la salud mental</t>
  </si>
  <si>
    <t>8.3.1. Desarrollar propuestas de intervención desde el ámbito social, político, económico, jurídico y ambiental para contribuir al mejoramiento de la calidad de vida de la sociedad</t>
  </si>
  <si>
    <t xml:space="preserve">8.3.2. Ejecutar una estrategia de análisis  para la gestión de problemáticas sociales en función de la familia, comunidad, cultura y sociedad </t>
  </si>
  <si>
    <t>8.2.1. Diferenciar Las diferentes técnicas de diseño, desarrollo, aplicación e interpretación de pruebas psicométricas.</t>
  </si>
  <si>
    <t>8.2.2 Aplicar los conceptos básicos de la psicometría en el diseño, desarrollo, aplicación e interpretación de pruebas psicométricas.</t>
  </si>
  <si>
    <t xml:space="preserve">
9,2,1 Integrar los conceptos nosologicos básicos de la psicometría en la construcción, aplicación e interpretación de pruebas desde los diferentes modelos de medición  para la comprensión de la estructura del psiquismo humano</t>
  </si>
  <si>
    <t>9,2,2 Construir instrumentos de evaluación psicológica a partir de los principios epistemológico, teóricos, metodológicos y éticos de la psicometría con el fin de evaluar los diferentes procesos del psiquismo humano</t>
  </si>
  <si>
    <t>9,3,1 Desarrollar un plan de orientación psicoeducativa mediante el uso de pruebas psicológicas  tendiente a generar un perfil socio-ocupacional</t>
  </si>
  <si>
    <t xml:space="preserve">9,4,1Reflexionar sobre los resultados de la evaluación psicológica con el fin de diseñar propuestas de mejoramiento y coadyuvar en la solución de las problemáticas estudiadas. en los contextos social, educativo, clínico y organizacional </t>
  </si>
  <si>
    <t>Aplicar instrumentos de rastreo cognitivo pertinentes a la neuropsicología para la realización de un perfil cognitivo.</t>
  </si>
  <si>
    <t xml:space="preserve">
Construir planes  de intervención que aborden los problemas psicológicos de manera integral, teniendo en cuenta las diferentes enfoques y áreas de la psicología para dar respuesta a las necesidades individuales y grupales. </t>
  </si>
  <si>
    <t>Implementar planes  de intervención que aborden los problemas psicológicos de manera integral, teniendo en cuenta las estrategias o técnicas de los enfoques de la psicología para dar respuesta a las necesidades individuales y grupales.</t>
  </si>
  <si>
    <t xml:space="preserve"> Gestionar planes y proyectos de intervención psicosciales que aborden realidades sociales de manera integral para dar respuesta a necesidades individuales, grupales y comunitarias. </t>
  </si>
  <si>
    <t xml:space="preserve"> Desarrollar  planes y proyectos de intervención psicosciales que aborden realidades sociales de manera integral para dar respuesta a necesidades individuales, grupales y comunitarias. </t>
  </si>
  <si>
    <t>Monitorear los planes y  proyectos de intervención teniendo en cuenta los principios éticos y la normativa vigente para promover el bienestar y la calidad de vida de los individuos y la sociedad</t>
  </si>
  <si>
    <t>Crecimiento Personal y Profesional</t>
  </si>
  <si>
    <t>RESULTADOS DE APRENDIZAJE GLOBAL</t>
  </si>
  <si>
    <r>
      <rPr>
        <b/>
        <sz val="11"/>
        <color rgb="FF000000"/>
        <rFont val="Arial"/>
      </rPr>
      <t xml:space="preserve">
</t>
    </r>
    <r>
      <rPr>
        <b/>
        <sz val="11"/>
        <color rgb="FF00B0F0"/>
        <rFont val="Arial"/>
      </rPr>
      <t>Explicar</t>
    </r>
    <r>
      <rPr>
        <sz val="11"/>
        <color rgb="FF000000"/>
        <rFont val="Arial"/>
      </rPr>
      <t xml:space="preserve"> </t>
    </r>
    <r>
      <rPr>
        <sz val="11"/>
        <color rgb="FFFFC000"/>
        <rFont val="Arial"/>
      </rPr>
      <t>los modelos teoricos y principios epistemologícos de la Psicología</t>
    </r>
    <r>
      <rPr>
        <sz val="11"/>
        <color rgb="FF000000"/>
        <rFont val="Arial"/>
      </rPr>
      <t xml:space="preserve"> </t>
    </r>
    <r>
      <rPr>
        <sz val="11"/>
        <color rgb="FF00B050"/>
        <rFont val="Arial"/>
      </rPr>
      <t>para desarrollar una postura critica en el análisis de los problemas contemporaneos</t>
    </r>
    <r>
      <rPr>
        <sz val="11"/>
        <color rgb="FF000000"/>
        <rFont val="Arial"/>
      </rPr>
      <t xml:space="preserve"> </t>
    </r>
    <r>
      <rPr>
        <sz val="11"/>
        <color rgb="FFFF0000"/>
        <rFont val="Arial"/>
      </rPr>
      <t>en diferentes contextos.</t>
    </r>
  </si>
  <si>
    <t>Epistemología y Psicología (I), Fundamentos Filosóficos de la Psicología (I),  Procesos Psicológicos I (II) y Procesos Psicológicos II (III)</t>
  </si>
  <si>
    <t>Monitorear: El monitoreo es el proceso continuo y sistemático mediante el cual se verifica la eficiencia y la eficacia de un proyecto mediante la identificación de sus logros y debilidades y en consecuencia, se recomiendan medidas correctivas para optimizar los resultados esperados del proyecto.</t>
  </si>
  <si>
    <r>
      <rPr>
        <b/>
        <sz val="11"/>
        <color rgb="FF00B0F0"/>
        <rFont val="Arial"/>
      </rPr>
      <t>Distinguir</t>
    </r>
    <r>
      <rPr>
        <sz val="11"/>
        <color rgb="FFFF0000"/>
        <rFont val="Arial"/>
      </rPr>
      <t xml:space="preserve"> </t>
    </r>
    <r>
      <rPr>
        <sz val="11"/>
        <color rgb="FFFFC000"/>
        <rFont val="Arial"/>
      </rPr>
      <t>las bases teoricas de los procesos psicologicos básicos,</t>
    </r>
    <r>
      <rPr>
        <sz val="11"/>
        <color rgb="FF000000"/>
        <rFont val="Arial"/>
      </rPr>
      <t xml:space="preserve">  </t>
    </r>
    <r>
      <rPr>
        <sz val="11"/>
        <color rgb="FFFF0000"/>
        <rFont val="Arial"/>
      </rPr>
      <t xml:space="preserve">de acuerdo a su interacción con el entorno </t>
    </r>
    <r>
      <rPr>
        <sz val="11"/>
        <color rgb="FF00B050"/>
        <rFont val="Arial"/>
      </rPr>
      <t xml:space="preserve">para la comprensión de la estructura del psiquismo humano </t>
    </r>
  </si>
  <si>
    <t>Escuelas Psicológicas (II), Procesos Psicológicos 1 (II), Psicobiológicas 1 (II)</t>
  </si>
  <si>
    <r>
      <rPr>
        <b/>
        <sz val="11"/>
        <color rgb="FF00B0F0"/>
        <rFont val="Calibri"/>
      </rPr>
      <t>Elaborar</t>
    </r>
    <r>
      <rPr>
        <sz val="11"/>
        <color rgb="FF000000"/>
        <rFont val="Calibri"/>
      </rPr>
      <t xml:space="preserve"> </t>
    </r>
    <r>
      <rPr>
        <sz val="11"/>
        <color rgb="FFFFC000"/>
        <rFont val="Calibri"/>
      </rPr>
      <t>un análisis diagnóstico de la situación problemática</t>
    </r>
    <r>
      <rPr>
        <sz val="11"/>
        <color rgb="FF000000"/>
        <rFont val="Calibri"/>
      </rPr>
      <t xml:space="preserve"> </t>
    </r>
    <r>
      <rPr>
        <sz val="11"/>
        <color rgb="FFFF0000"/>
        <rFont val="Calibri"/>
      </rPr>
      <t xml:space="preserve">a partir de los conceptos claves y principios básicos de los modelos teóricos, epistemológicos y metodológicos </t>
    </r>
    <r>
      <rPr>
        <sz val="11"/>
        <color rgb="FF00B050"/>
        <rFont val="Calibri"/>
      </rPr>
      <t>para contribuir a las soluciones de las problemáticas analizadas</t>
    </r>
  </si>
  <si>
    <t>Pedagogía y Didáctica (II), Procesos Psicosociales y Paz (IV), Psicología Jurídica(IV)</t>
  </si>
  <si>
    <r>
      <rPr>
        <b/>
        <sz val="11"/>
        <color rgb="FF00B0F0"/>
        <rFont val="Calibri"/>
      </rPr>
      <t>Producir</t>
    </r>
    <r>
      <rPr>
        <sz val="11"/>
        <color rgb="FF00B0F0"/>
        <rFont val="Calibri"/>
      </rPr>
      <t xml:space="preserve"> </t>
    </r>
    <r>
      <rPr>
        <sz val="11"/>
        <color rgb="FFFFC000"/>
        <rFont val="Calibri"/>
      </rPr>
      <t>un plan de intervención</t>
    </r>
    <r>
      <rPr>
        <sz val="11"/>
        <color rgb="FF000000"/>
        <rFont val="Calibri"/>
      </rPr>
      <t xml:space="preserve"> </t>
    </r>
    <r>
      <rPr>
        <sz val="11"/>
        <color rgb="FFFF0000"/>
        <rFont val="Calibri"/>
      </rPr>
      <t>teniendo en cuenta la normatividad y los marcos teóricos abordados</t>
    </r>
    <r>
      <rPr>
        <sz val="11"/>
        <color rgb="FF000000"/>
        <rFont val="Calibri"/>
      </rPr>
      <t xml:space="preserve"> </t>
    </r>
    <r>
      <rPr>
        <sz val="11"/>
        <color rgb="FF00B050"/>
        <rFont val="Calibri"/>
      </rPr>
      <t>para la solución de conflictos famiiares, laborales y sociales</t>
    </r>
  </si>
  <si>
    <t>Electiva Profesional I(V), Introducción a la Psicología Organizacional (VI), Psicología Organizacional (VII)</t>
  </si>
  <si>
    <t>Interpretar, Examinar,</t>
  </si>
  <si>
    <r>
      <rPr>
        <b/>
        <sz val="11"/>
        <color rgb="FF00B0F0"/>
        <rFont val="Calibri"/>
      </rPr>
      <t>Implementar</t>
    </r>
    <r>
      <rPr>
        <sz val="11"/>
        <color rgb="FF000000"/>
        <rFont val="Calibri"/>
      </rPr>
      <t xml:space="preserve"> </t>
    </r>
    <r>
      <rPr>
        <b/>
        <sz val="11"/>
        <color rgb="FFFFC000"/>
        <rFont val="Calibri"/>
      </rPr>
      <t>los planes de intervención</t>
    </r>
    <r>
      <rPr>
        <sz val="11"/>
        <color rgb="FFFF0000"/>
        <rFont val="Calibri"/>
      </rPr>
      <t xml:space="preserve"> en función de la interacción de las personas con los escenarios familiares, clínicos, políticos, ambientales y culturales</t>
    </r>
    <r>
      <rPr>
        <sz val="11"/>
        <color rgb="FF00B050"/>
        <rFont val="Calibri"/>
      </rPr>
      <t xml:space="preserve"> para dar respuestas a las necesidades identificadas.</t>
    </r>
  </si>
  <si>
    <t>Electiva Aplicada en psicología 1 (IX)</t>
  </si>
  <si>
    <r>
      <rPr>
        <b/>
        <sz val="11"/>
        <color rgb="FF00B0F0"/>
        <rFont val="Calibri"/>
      </rPr>
      <t xml:space="preserve">Efectuar </t>
    </r>
    <r>
      <rPr>
        <b/>
        <sz val="11"/>
        <color rgb="FFFFC000"/>
        <rFont val="Calibri"/>
      </rPr>
      <t xml:space="preserve">los planes de intervención </t>
    </r>
    <r>
      <rPr>
        <sz val="11"/>
        <color rgb="FF00B050"/>
        <rFont val="Calibri"/>
      </rPr>
      <t xml:space="preserve"> para potencializar habilidades y destrezas </t>
    </r>
    <r>
      <rPr>
        <sz val="11"/>
        <color rgb="FFFF0000"/>
        <rFont val="Calibri"/>
      </rPr>
      <t>en los contextos educativos y laborales</t>
    </r>
  </si>
  <si>
    <t>Electiva Aplicada en psicología 2 (IX)</t>
  </si>
  <si>
    <t>Planear, Estructurar</t>
  </si>
  <si>
    <r>
      <rPr>
        <b/>
        <sz val="11"/>
        <color rgb="FF5B9BD5"/>
        <rFont val="Calibri"/>
      </rPr>
      <t xml:space="preserve">Articular </t>
    </r>
    <r>
      <rPr>
        <b/>
        <sz val="11"/>
        <color rgb="FFFFC000"/>
        <rFont val="Calibri"/>
      </rPr>
      <t xml:space="preserve">las bases teóricas de los procesos psicológicos básicos </t>
    </r>
    <r>
      <rPr>
        <b/>
        <sz val="11"/>
        <color rgb="FFFF0000"/>
        <rFont val="Calibri"/>
      </rPr>
      <t>considerando los diferentes modelos teóricos</t>
    </r>
    <r>
      <rPr>
        <b/>
        <sz val="11"/>
        <color rgb="FFFFC000"/>
        <rFont val="Calibri"/>
      </rPr>
      <t xml:space="preserve"> </t>
    </r>
    <r>
      <rPr>
        <b/>
        <sz val="11"/>
        <color rgb="FF00B050"/>
        <rFont val="Calibri"/>
      </rPr>
      <t>para la comprensión del desarrollo integral del ser humano</t>
    </r>
  </si>
  <si>
    <t>Procesos Psicológicos I (II) y Procesos Psicológicos II (III)</t>
  </si>
  <si>
    <r>
      <rPr>
        <b/>
        <sz val="11"/>
        <color rgb="FF00B0F0"/>
        <rFont val="Calibri"/>
      </rPr>
      <t>Determinar</t>
    </r>
    <r>
      <rPr>
        <sz val="11"/>
        <color rgb="FF000000"/>
        <rFont val="Calibri"/>
      </rPr>
      <t xml:space="preserve"> </t>
    </r>
    <r>
      <rPr>
        <sz val="11"/>
        <color rgb="FFFFC000"/>
        <rFont val="Calibri"/>
      </rPr>
      <t xml:space="preserve">los principios de las teorías de la personalidad </t>
    </r>
    <r>
      <rPr>
        <sz val="11"/>
        <color rgb="FFFF0000"/>
        <rFont val="Calibri"/>
      </rPr>
      <t xml:space="preserve"> desde las diferentes perspectivas psicológicas </t>
    </r>
    <r>
      <rPr>
        <sz val="11"/>
        <color rgb="FF00B050"/>
        <rFont val="Calibri"/>
      </rPr>
      <t>para la comprensión del comportamiento humano</t>
    </r>
  </si>
  <si>
    <t>Psicología de la Personalidad(III)</t>
  </si>
  <si>
    <r>
      <rPr>
        <b/>
        <sz val="11"/>
        <color rgb="FF00B0F0"/>
        <rFont val="Calibri"/>
      </rPr>
      <t xml:space="preserve">Construir </t>
    </r>
    <r>
      <rPr>
        <b/>
        <sz val="11"/>
        <color rgb="FFFFC000"/>
        <rFont val="Calibri"/>
      </rPr>
      <t xml:space="preserve">una propuesta de intervención  </t>
    </r>
    <r>
      <rPr>
        <b/>
        <sz val="11"/>
        <color rgb="FFFF0000"/>
        <rFont val="Calibri"/>
      </rPr>
      <t xml:space="preserve">en las diferentes etapas del ciclo vital </t>
    </r>
    <r>
      <rPr>
        <b/>
        <sz val="11"/>
        <color rgb="FF00B050"/>
        <rFont val="Calibri"/>
      </rPr>
      <t>para</t>
    </r>
    <r>
      <rPr>
        <b/>
        <sz val="11"/>
        <color rgb="FFFF0000"/>
        <rFont val="Calibri"/>
      </rPr>
      <t xml:space="preserve"> </t>
    </r>
    <r>
      <rPr>
        <b/>
        <sz val="11"/>
        <color rgb="FF00B050"/>
        <rFont val="Calibri"/>
      </rPr>
      <t>contribuir con el bienestar integral del ser humano y la comunidad</t>
    </r>
  </si>
  <si>
    <t>Dllo. Humano de la Infancia y Adolescencia (III)Dllo Humano de la Adultez y Vejez (IV), Psicología Clínica y de la Salud (IV), Psicología Aplicada a la Educación 1 (V)</t>
  </si>
  <si>
    <r>
      <rPr>
        <sz val="11"/>
        <color rgb="FF00B0F0"/>
        <rFont val="Calibri"/>
      </rPr>
      <t>Idear</t>
    </r>
    <r>
      <rPr>
        <sz val="11"/>
        <color rgb="FFFFC000"/>
        <rFont val="Calibri"/>
      </rPr>
      <t xml:space="preserve"> estrategias  aplicables </t>
    </r>
    <r>
      <rPr>
        <sz val="11"/>
        <color rgb="FFFF0000"/>
        <rFont val="Calibri"/>
      </rPr>
      <t xml:space="preserve">a las problemáticas psicologicas de acuerdo a los diferentes modelos teóricos  </t>
    </r>
    <r>
      <rPr>
        <b/>
        <sz val="11"/>
        <color rgb="FF00B050"/>
        <rFont val="Calibri"/>
      </rPr>
      <t>para la comprensión del psiquismo del ser humano</t>
    </r>
  </si>
  <si>
    <t>Modelo Comportamental (IV), Modelo Psicoanalítico (IV), Modelo Sistémico (V), Modelo Humanístico (V), Psicología Positiva (VI)</t>
  </si>
  <si>
    <r>
      <rPr>
        <b/>
        <sz val="11"/>
        <color rgb="FF00B0F0"/>
        <rFont val="Calibri"/>
      </rPr>
      <t>Generar</t>
    </r>
    <r>
      <rPr>
        <sz val="11"/>
        <color rgb="FF000000"/>
        <rFont val="Calibri"/>
      </rPr>
      <t xml:space="preserve"> </t>
    </r>
    <r>
      <rPr>
        <sz val="11"/>
        <color rgb="FFFFC000"/>
        <rFont val="Calibri"/>
      </rPr>
      <t>un plan de evaluación y diagnóstico psicológico</t>
    </r>
    <r>
      <rPr>
        <sz val="11"/>
        <color rgb="FFFF0000"/>
        <rFont val="Calibri"/>
      </rPr>
      <t xml:space="preserve"> considerando enfoques terapéuticos y estrategias de prevención </t>
    </r>
    <r>
      <rPr>
        <b/>
        <sz val="11"/>
        <color rgb="FF00B050"/>
        <rFont val="Calibri"/>
      </rPr>
      <t>para la promoción de la salud mental</t>
    </r>
  </si>
  <si>
    <t>Psicopatología 1 (VI) y Psicopatología 2  (VII)</t>
  </si>
  <si>
    <r>
      <rPr>
        <sz val="11"/>
        <color rgb="FF00B0F0"/>
        <rFont val="Calibri"/>
      </rPr>
      <t>Desarrollar</t>
    </r>
    <r>
      <rPr>
        <sz val="11"/>
        <color rgb="FF000000"/>
        <rFont val="Calibri"/>
      </rPr>
      <t xml:space="preserve"> </t>
    </r>
    <r>
      <rPr>
        <sz val="11"/>
        <color rgb="FFFFC000"/>
        <rFont val="Calibri"/>
      </rPr>
      <t>propuestas de intervención</t>
    </r>
    <r>
      <rPr>
        <sz val="11"/>
        <color rgb="FF000000"/>
        <rFont val="Calibri"/>
      </rPr>
      <t xml:space="preserve"> </t>
    </r>
    <r>
      <rPr>
        <sz val="11"/>
        <color rgb="FFFF0000"/>
        <rFont val="Calibri"/>
      </rPr>
      <t>desde el ámbito social, político, económico, jurídico y ambiental</t>
    </r>
    <r>
      <rPr>
        <sz val="11"/>
        <color rgb="FF000000"/>
        <rFont val="Calibri"/>
      </rPr>
      <t xml:space="preserve"> </t>
    </r>
    <r>
      <rPr>
        <sz val="11"/>
        <color rgb="FF00B050"/>
        <rFont val="Calibri"/>
      </rPr>
      <t xml:space="preserve">para contribuir al mejoramiento de la calidad de vida de la sociedad
</t>
    </r>
    <r>
      <rPr>
        <sz val="11"/>
        <color rgb="FF000000"/>
        <rFont val="Calibri"/>
      </rPr>
      <t xml:space="preserve">
</t>
    </r>
  </si>
  <si>
    <t>Psicología Social y Aplicada(VI),  Psicología Comunitaria(VII),  Psicología Forense(VIII)</t>
  </si>
  <si>
    <r>
      <rPr>
        <b/>
        <sz val="11"/>
        <color rgb="FF00B0F0"/>
        <rFont val="Calibri"/>
      </rPr>
      <t>Ejecutar</t>
    </r>
    <r>
      <rPr>
        <b/>
        <sz val="11"/>
        <color rgb="FF000000"/>
        <rFont val="Calibri"/>
      </rPr>
      <t xml:space="preserve"> </t>
    </r>
    <r>
      <rPr>
        <b/>
        <sz val="11"/>
        <color rgb="FFFFC000"/>
        <rFont val="Calibri"/>
      </rPr>
      <t xml:space="preserve">una estrategia de análisis  </t>
    </r>
    <r>
      <rPr>
        <b/>
        <sz val="11"/>
        <color rgb="FF00B050"/>
        <rFont val="Calibri"/>
      </rPr>
      <t xml:space="preserve">para la gestión de problemáticas sociales </t>
    </r>
    <r>
      <rPr>
        <b/>
        <sz val="11"/>
        <color rgb="FFFF0000"/>
        <rFont val="Calibri"/>
      </rPr>
      <t>en función de la familia, comunidad, cultura y sociedad</t>
    </r>
    <r>
      <rPr>
        <b/>
        <sz val="11"/>
        <color rgb="FF000000"/>
        <rFont val="Calibri"/>
      </rPr>
      <t xml:space="preserve"> </t>
    </r>
  </si>
  <si>
    <t>Electiva Interdisciplinar II (VIII) y Electiva Interdisciplinar 1(VI)</t>
  </si>
  <si>
    <r>
      <rPr>
        <sz val="11"/>
        <color rgb="FF000000"/>
        <rFont val="Calibri"/>
      </rPr>
      <t xml:space="preserve">
</t>
    </r>
    <r>
      <rPr>
        <sz val="11"/>
        <color rgb="FF4472C4"/>
        <rFont val="Calibri"/>
      </rPr>
      <t>9.2.1. Integrar</t>
    </r>
    <r>
      <rPr>
        <sz val="11"/>
        <color rgb="FFFFC000"/>
        <rFont val="Calibri"/>
      </rPr>
      <t xml:space="preserve"> </t>
    </r>
    <r>
      <rPr>
        <b/>
        <sz val="11"/>
        <color rgb="FFFFC000"/>
        <rFont val="Calibri"/>
      </rPr>
      <t>los conceptos nosologicos básicos de la psicometría en la construcción, aplicación e interpretación de pruebas</t>
    </r>
    <r>
      <rPr>
        <sz val="11"/>
        <color rgb="FF000000"/>
        <rFont val="Calibri"/>
      </rPr>
      <t xml:space="preserve"> </t>
    </r>
    <r>
      <rPr>
        <sz val="11"/>
        <color rgb="FFFF0000"/>
        <rFont val="Calibri"/>
      </rPr>
      <t xml:space="preserve">desde los diferentes modelos de medición </t>
    </r>
    <r>
      <rPr>
        <sz val="11"/>
        <color rgb="FF000000"/>
        <rFont val="Calibri"/>
      </rPr>
      <t xml:space="preserve"> </t>
    </r>
    <r>
      <rPr>
        <b/>
        <sz val="11"/>
        <color rgb="FF00B050"/>
        <rFont val="Calibri"/>
      </rPr>
      <t>para la comprensión de la estructura del psiquismo humano</t>
    </r>
  </si>
  <si>
    <t>Psicometría (IV)</t>
  </si>
  <si>
    <r>
      <rPr>
        <sz val="11"/>
        <color rgb="FF4472C4"/>
        <rFont val="Calibri"/>
      </rPr>
      <t xml:space="preserve">9.2.2. Construir </t>
    </r>
    <r>
      <rPr>
        <sz val="11"/>
        <color rgb="FFFFC000"/>
        <rFont val="Calibri"/>
      </rPr>
      <t xml:space="preserve">instrumentos de evaluación psicológica </t>
    </r>
    <r>
      <rPr>
        <sz val="11"/>
        <color rgb="FFFF0000"/>
        <rFont val="Calibri"/>
      </rPr>
      <t>a partir de los principios epistemológico, teóricos, metodológicos y éticos de la psicometría</t>
    </r>
    <r>
      <rPr>
        <sz val="11"/>
        <color rgb="FF000000"/>
        <rFont val="Calibri"/>
      </rPr>
      <t xml:space="preserve"> </t>
    </r>
    <r>
      <rPr>
        <b/>
        <sz val="11"/>
        <color rgb="FF00B050"/>
        <rFont val="Calibri"/>
      </rPr>
      <t>con el fin de evaluar los diferentes procesos del psiquismo humano</t>
    </r>
  </si>
  <si>
    <r>
      <rPr>
        <sz val="11"/>
        <color rgb="FF4472C4"/>
        <rFont val="Calibri"/>
      </rPr>
      <t>9.3.1. Desarrollar</t>
    </r>
    <r>
      <rPr>
        <sz val="11"/>
        <color rgb="FF000000"/>
        <rFont val="Calibri"/>
      </rPr>
      <t xml:space="preserve"> </t>
    </r>
    <r>
      <rPr>
        <b/>
        <sz val="11"/>
        <color rgb="FFFFC000"/>
        <rFont val="Calibri"/>
      </rPr>
      <t xml:space="preserve">un plan de orientación psicoeducativa </t>
    </r>
    <r>
      <rPr>
        <sz val="11"/>
        <color rgb="FFFF0000"/>
        <rFont val="Calibri"/>
      </rPr>
      <t>mediante el uso de pruebas psicológicas</t>
    </r>
    <r>
      <rPr>
        <sz val="11"/>
        <color rgb="FF000000"/>
        <rFont val="Calibri"/>
      </rPr>
      <t xml:space="preserve"> </t>
    </r>
    <r>
      <rPr>
        <sz val="11"/>
        <color rgb="FF00B050"/>
        <rFont val="Calibri"/>
      </rPr>
      <t xml:space="preserve"> tendiente a generar un perfil socio-ocupacional</t>
    </r>
  </si>
  <si>
    <t>Psicología Aplicada a la Educación I (V)</t>
  </si>
  <si>
    <r>
      <rPr>
        <sz val="11"/>
        <color rgb="FF4472C4"/>
        <rFont val="Calibri"/>
      </rPr>
      <t>9.4.1. Reflexionar</t>
    </r>
    <r>
      <rPr>
        <sz val="11"/>
        <color rgb="FF000000"/>
        <rFont val="Calibri"/>
      </rPr>
      <t xml:space="preserve"> </t>
    </r>
    <r>
      <rPr>
        <sz val="11"/>
        <color rgb="FFFFC000"/>
        <rFont val="Calibri"/>
      </rPr>
      <t>sobre los resultados de la evaluación psicológica</t>
    </r>
    <r>
      <rPr>
        <sz val="11"/>
        <color rgb="FF000000"/>
        <rFont val="Calibri"/>
      </rPr>
      <t xml:space="preserve"> </t>
    </r>
    <r>
      <rPr>
        <sz val="11"/>
        <color rgb="FF00B050"/>
        <rFont val="Calibri"/>
      </rPr>
      <t xml:space="preserve">con el fin de diseñar propuestas de mejoramiento y coadyuvar en la solución de las problemáticas estudiadas. </t>
    </r>
    <r>
      <rPr>
        <sz val="11"/>
        <color rgb="FFFF0000"/>
        <rFont val="Calibri"/>
      </rPr>
      <t xml:space="preserve">en los contextos social, educativo, clínico y organizacional. </t>
    </r>
  </si>
  <si>
    <t>Electiva de medición y evaluación (V)
Psicología Aplicada a la Educación II (VII)
Psicología Organizacional (VII)</t>
  </si>
  <si>
    <r>
      <rPr>
        <sz val="11"/>
        <color rgb="FF00B0F0"/>
        <rFont val="Calibri"/>
        <scheme val="minor"/>
      </rPr>
      <t>10.1.1. Aplicar</t>
    </r>
    <r>
      <rPr>
        <sz val="11"/>
        <color rgb="FFFFC000"/>
        <rFont val="Calibri"/>
        <scheme val="minor"/>
      </rPr>
      <t xml:space="preserve"> instrumentos de evaluación </t>
    </r>
    <r>
      <rPr>
        <sz val="11"/>
        <color rgb="FFFF0000"/>
        <rFont val="Calibri"/>
        <scheme val="minor"/>
      </rPr>
      <t>pertinentes a la neuropsicología</t>
    </r>
    <r>
      <rPr>
        <sz val="11"/>
        <color rgb="FF000000"/>
        <rFont val="Calibri"/>
        <scheme val="minor"/>
      </rPr>
      <t xml:space="preserve"> </t>
    </r>
    <r>
      <rPr>
        <sz val="11"/>
        <color rgb="FF00B050"/>
        <rFont val="Calibri"/>
        <scheme val="minor"/>
      </rPr>
      <t xml:space="preserve">para la realización de un perfil cognitivo. </t>
    </r>
  </si>
  <si>
    <t>Psicobiológicas II (III)</t>
  </si>
  <si>
    <r>
      <rPr>
        <sz val="11"/>
        <color rgb="FF00B0F0"/>
        <rFont val="Calibri"/>
        <scheme val="minor"/>
      </rPr>
      <t>10.1.2. Estructurar</t>
    </r>
    <r>
      <rPr>
        <sz val="11"/>
        <color rgb="FF000000"/>
        <rFont val="Calibri"/>
        <scheme val="minor"/>
      </rPr>
      <t xml:space="preserve"> </t>
    </r>
    <r>
      <rPr>
        <sz val="11"/>
        <color rgb="FFFFC000"/>
        <rFont val="Calibri"/>
        <scheme val="minor"/>
      </rPr>
      <t>estrategias de intervención cognitiva</t>
    </r>
    <r>
      <rPr>
        <sz val="11"/>
        <color rgb="FF000000"/>
        <rFont val="Calibri"/>
        <scheme val="minor"/>
      </rPr>
      <t xml:space="preserve"> </t>
    </r>
    <r>
      <rPr>
        <sz val="11"/>
        <color rgb="FFFF0000"/>
        <rFont val="Calibri"/>
        <scheme val="minor"/>
      </rPr>
      <t>con base a los resultados de la evaluación neuropsicológica</t>
    </r>
    <r>
      <rPr>
        <sz val="11"/>
        <color rgb="FF000000"/>
        <rFont val="Calibri"/>
        <scheme val="minor"/>
      </rPr>
      <t xml:space="preserve"> </t>
    </r>
    <r>
      <rPr>
        <sz val="11"/>
        <color rgb="FF00B050"/>
        <rFont val="Calibri"/>
        <scheme val="minor"/>
      </rPr>
      <t>para el diseño de un plan de rehabilitación.</t>
    </r>
  </si>
  <si>
    <r>
      <rPr>
        <sz val="11"/>
        <color rgb="FF000000"/>
        <rFont val="Calibri"/>
        <scheme val="minor"/>
      </rPr>
      <t xml:space="preserve">
</t>
    </r>
    <r>
      <rPr>
        <sz val="11"/>
        <color rgb="FF00B0F0"/>
        <rFont val="Calibri"/>
        <scheme val="minor"/>
      </rPr>
      <t>10.2.1. Construir</t>
    </r>
    <r>
      <rPr>
        <sz val="11"/>
        <color rgb="FF000000"/>
        <rFont val="Calibri"/>
        <scheme val="minor"/>
      </rPr>
      <t xml:space="preserve"> </t>
    </r>
    <r>
      <rPr>
        <sz val="11"/>
        <color rgb="FFFFC000"/>
        <rFont val="Calibri"/>
        <scheme val="minor"/>
      </rPr>
      <t>planes  de intervención</t>
    </r>
    <r>
      <rPr>
        <sz val="11"/>
        <color rgb="FF000000"/>
        <rFont val="Calibri"/>
        <scheme val="minor"/>
      </rPr>
      <t xml:space="preserve"> </t>
    </r>
    <r>
      <rPr>
        <sz val="11"/>
        <color rgb="FFFF0000"/>
        <rFont val="Calibri"/>
        <scheme val="minor"/>
      </rPr>
      <t>que aborden los problemas psicológicos de manera integral, teniendo en cuenta las diferentes enfoques y áreas de la psicología</t>
    </r>
    <r>
      <rPr>
        <sz val="11"/>
        <color rgb="FF000000"/>
        <rFont val="Calibri"/>
        <scheme val="minor"/>
      </rPr>
      <t xml:space="preserve"> </t>
    </r>
    <r>
      <rPr>
        <sz val="11"/>
        <color rgb="FF00B050"/>
        <rFont val="Calibri"/>
        <scheme val="minor"/>
      </rPr>
      <t>para dar respuesta a las necesidades individuales y grupales.</t>
    </r>
    <r>
      <rPr>
        <sz val="11"/>
        <color rgb="FF000000"/>
        <rFont val="Calibri"/>
        <scheme val="minor"/>
      </rPr>
      <t xml:space="preserve"> </t>
    </r>
  </si>
  <si>
    <t>Psicología Clínica y de la Salud (IV)
Psicología Aplicada a la Educación II (VII)</t>
  </si>
  <si>
    <r>
      <rPr>
        <sz val="11"/>
        <color rgb="FF00B0F0"/>
        <rFont val="Calibri"/>
        <scheme val="minor"/>
      </rPr>
      <t xml:space="preserve">10.2.1. Implementar </t>
    </r>
    <r>
      <rPr>
        <sz val="11"/>
        <color rgb="FFFFC000"/>
        <rFont val="Calibri"/>
        <scheme val="minor"/>
      </rPr>
      <t xml:space="preserve">planes  de intervención </t>
    </r>
    <r>
      <rPr>
        <sz val="11"/>
        <color rgb="FFFF0000"/>
        <rFont val="Calibri"/>
        <scheme val="minor"/>
      </rPr>
      <t>que aborden los problemas psicológicos de manera integral, teniendo en cuenta las estrategias o técnicas de los enfoques de la psicología</t>
    </r>
    <r>
      <rPr>
        <sz val="11"/>
        <color rgb="FF000000"/>
        <rFont val="Calibri"/>
        <scheme val="minor"/>
      </rPr>
      <t xml:space="preserve"> </t>
    </r>
    <r>
      <rPr>
        <sz val="11"/>
        <color rgb="FF00B050"/>
        <rFont val="Calibri"/>
        <scheme val="minor"/>
      </rPr>
      <t xml:space="preserve">para dar respuesta a las necesidades individuales y grupales. </t>
    </r>
  </si>
  <si>
    <t xml:space="preserve">Electiva Profesional II (VI)
Electiva Profesional III (VII)
</t>
  </si>
  <si>
    <r>
      <rPr>
        <sz val="11"/>
        <color rgb="FF00B0F0"/>
        <rFont val="Calibri"/>
      </rPr>
      <t xml:space="preserve"> 10.3.1. Gestionar </t>
    </r>
    <r>
      <rPr>
        <sz val="11"/>
        <color rgb="FFFFC000"/>
        <rFont val="Calibri"/>
      </rPr>
      <t xml:space="preserve">planes y proyectos de intervención psicosciales </t>
    </r>
    <r>
      <rPr>
        <sz val="11"/>
        <color rgb="FFFF0000"/>
        <rFont val="Calibri"/>
      </rPr>
      <t xml:space="preserve">que aborden realidades sociales de manera integral </t>
    </r>
    <r>
      <rPr>
        <sz val="11"/>
        <color rgb="FF00B050"/>
        <rFont val="Calibri"/>
      </rPr>
      <t xml:space="preserve">para dar respuesta a necesidades individuales, grupales y comunitarias. </t>
    </r>
  </si>
  <si>
    <t>Psicología Comunitaria (VII)</t>
  </si>
  <si>
    <r>
      <rPr>
        <sz val="11"/>
        <color rgb="FF000000"/>
        <rFont val="Calibri"/>
        <scheme val="minor"/>
      </rPr>
      <t xml:space="preserve">10.3.2. </t>
    </r>
    <r>
      <rPr>
        <sz val="11"/>
        <color rgb="FF5B9BD5"/>
        <rFont val="Calibri"/>
        <scheme val="minor"/>
      </rPr>
      <t>Desarroll</t>
    </r>
    <r>
      <rPr>
        <sz val="11"/>
        <color rgb="FFFFC000"/>
        <rFont val="Calibri"/>
        <scheme val="minor"/>
      </rPr>
      <t>ar  planes y proyectos de intervención psicosciales</t>
    </r>
    <r>
      <rPr>
        <sz val="11"/>
        <color rgb="FF000000"/>
        <rFont val="Calibri"/>
        <scheme val="minor"/>
      </rPr>
      <t xml:space="preserve"> </t>
    </r>
    <r>
      <rPr>
        <sz val="11"/>
        <color rgb="FFFF0000"/>
        <rFont val="Calibri"/>
        <scheme val="minor"/>
      </rPr>
      <t>que aborden realidades sociales de manera integral</t>
    </r>
    <r>
      <rPr>
        <sz val="11"/>
        <color rgb="FF000000"/>
        <rFont val="Calibri"/>
        <scheme val="minor"/>
      </rPr>
      <t xml:space="preserve"> </t>
    </r>
    <r>
      <rPr>
        <sz val="11"/>
        <color rgb="FF92D050"/>
        <rFont val="Calibri"/>
        <scheme val="minor"/>
      </rPr>
      <t>para dar respuesta a necesidades individuales, grupales y comunitarias.</t>
    </r>
    <r>
      <rPr>
        <sz val="11"/>
        <color rgb="FF000000"/>
        <rFont val="Calibri"/>
        <scheme val="minor"/>
      </rPr>
      <t xml:space="preserve"> </t>
    </r>
  </si>
  <si>
    <r>
      <rPr>
        <sz val="11"/>
        <color rgb="FF4472C4"/>
        <rFont val="Calibri"/>
      </rPr>
      <t xml:space="preserve">10.4.1. Monitorear </t>
    </r>
    <r>
      <rPr>
        <sz val="11"/>
        <color rgb="FF000000"/>
        <rFont val="Calibri"/>
      </rPr>
      <t xml:space="preserve">los planes y  proyectos de intervención </t>
    </r>
    <r>
      <rPr>
        <sz val="11"/>
        <color rgb="FFFF0000"/>
        <rFont val="Calibri"/>
      </rPr>
      <t xml:space="preserve">teniendo en cuenta los principios éticos y la normativa vigente </t>
    </r>
    <r>
      <rPr>
        <sz val="11"/>
        <color rgb="FF00B050"/>
        <rFont val="Calibri"/>
      </rPr>
      <t>para promover el bienestar y la calidad de vida de los individuos y la sociedad</t>
    </r>
  </si>
  <si>
    <t>Practica Profesional I Clínica (VIII)
Practica Profesional II (IX)</t>
  </si>
  <si>
    <r>
      <rPr>
        <b/>
        <sz val="10"/>
        <color rgb="FF4BACC6"/>
        <rFont val="Trebuchet MS"/>
      </rPr>
      <t>Monitorear</t>
    </r>
    <r>
      <rPr>
        <sz val="10"/>
        <color rgb="FF000000"/>
        <rFont val="Trebuchet MS"/>
      </rPr>
      <t xml:space="preserve"> </t>
    </r>
    <r>
      <rPr>
        <sz val="10"/>
        <color rgb="FFFFC000"/>
        <rFont val="Trebuchet MS"/>
      </rPr>
      <t>modelos teóricos y epistemológico</t>
    </r>
    <r>
      <rPr>
        <sz val="10"/>
        <color rgb="FF000000"/>
        <rFont val="Trebuchet MS"/>
      </rPr>
      <t xml:space="preserve"> </t>
    </r>
    <r>
      <rPr>
        <sz val="10"/>
        <color rgb="FF00B050"/>
        <rFont val="Trebuchet MS"/>
      </rPr>
      <t xml:space="preserve">que responda a la generación de conocimiento científico para afrontar los desafíos contemporáneos de la psicología </t>
    </r>
    <r>
      <rPr>
        <sz val="10"/>
        <color rgb="FFFF0000"/>
        <rFont val="Trebuchet MS"/>
      </rPr>
      <t xml:space="preserve">articulando estos saberes al devenir del ser humano en su contexto biológico, social y cultural. 
</t>
    </r>
    <r>
      <rPr>
        <sz val="10"/>
        <color rgb="FF000000"/>
        <rFont val="Trebuchet MS"/>
      </rPr>
      <t xml:space="preserve">
</t>
    </r>
    <r>
      <rPr>
        <sz val="11"/>
        <color theme="4" tint="0.79998168889431442"/>
        <rFont val="Trebuchet MS"/>
        <family val="2"/>
      </rPr>
      <t xml:space="preserve">
Valorar modelos teóricos y epistemológicos de la disciplina psicológica desde una perspectiva interdisciplinar que responda a la generación de conocimiento científico permitiendo afrontar los desafíos contemporáneos de la psicología, articulando estos saberes al devenir del ser humano en su contexto biológico, social y cultural.</t>
    </r>
  </si>
  <si>
    <r>
      <rPr>
        <b/>
        <sz val="10"/>
        <color rgb="FF4BACC6"/>
        <rFont val="Trebuchet MS"/>
      </rPr>
      <t>7.1. Examinar</t>
    </r>
    <r>
      <rPr>
        <sz val="10"/>
        <color rgb="FF000000"/>
        <rFont val="Trebuchet MS"/>
      </rPr>
      <t xml:space="preserve"> </t>
    </r>
    <r>
      <rPr>
        <sz val="10"/>
        <color rgb="FFFFC000"/>
        <rFont val="Trebuchet MS"/>
      </rPr>
      <t>las teorías y principios epistémicos de la disciplina psicológica de</t>
    </r>
    <r>
      <rPr>
        <sz val="10"/>
        <color rgb="FF000000"/>
        <rFont val="Trebuchet MS"/>
      </rPr>
      <t xml:space="preserve"> </t>
    </r>
    <r>
      <rPr>
        <sz val="10"/>
        <color rgb="FFFFC000"/>
        <rFont val="Trebuchet MS"/>
      </rPr>
      <t>una visión interdisciplinaria</t>
    </r>
    <r>
      <rPr>
        <sz val="10"/>
        <color rgb="FF000000"/>
        <rFont val="Trebuchet MS"/>
      </rPr>
      <t xml:space="preserve"> </t>
    </r>
    <r>
      <rPr>
        <sz val="10"/>
        <color rgb="FF00B050"/>
        <rFont val="Trebuchet MS"/>
      </rPr>
      <t>que permitan el reconocimiento de los problemas contemporáneos</t>
    </r>
    <r>
      <rPr>
        <sz val="10"/>
        <color rgb="FF000000"/>
        <rFont val="Trebuchet MS"/>
      </rPr>
      <t xml:space="preserve"> </t>
    </r>
    <r>
      <rPr>
        <sz val="10"/>
        <color rgb="FFFF0000"/>
        <rFont val="Trebuchet MS"/>
      </rPr>
      <t xml:space="preserve">en diferentes contextos y propicien una visión integral del ser humano  
</t>
    </r>
    <r>
      <rPr>
        <sz val="10"/>
        <color theme="2"/>
        <rFont val="Trebuchet MS"/>
        <family val="2"/>
      </rPr>
      <t>Identificar las teorías y principios epistémicos de la disciplina psicológica desde una visión interdisciplinaria que permitan el reconocimiento de los problemas contemporáneos en diferentes contextos y propicien una visión integral del ser humano</t>
    </r>
  </si>
  <si>
    <r>
      <rPr>
        <b/>
        <sz val="10"/>
        <color rgb="FF4BACC6"/>
        <rFont val="Trebuchet MS"/>
      </rPr>
      <t xml:space="preserve"> 7.2. Planear </t>
    </r>
    <r>
      <rPr>
        <sz val="10"/>
        <color rgb="FFFFC000"/>
        <rFont val="Trebuchet MS"/>
      </rPr>
      <t>propuestas de intervención</t>
    </r>
    <r>
      <rPr>
        <sz val="10"/>
        <color rgb="FF000000"/>
        <rFont val="Trebuchet MS"/>
      </rPr>
      <t xml:space="preserve"> </t>
    </r>
    <r>
      <rPr>
        <sz val="10"/>
        <color rgb="FFFFC000"/>
        <rFont val="Trebuchet MS"/>
      </rPr>
      <t xml:space="preserve">a partir de la identificación de los modelos teóricos y las categorías conceptuales </t>
    </r>
    <r>
      <rPr>
        <sz val="10"/>
        <color rgb="FFFF0000"/>
        <rFont val="Trebuchet MS"/>
      </rPr>
      <t>que respondan a las necesidades del entorno</t>
    </r>
    <r>
      <rPr>
        <sz val="10"/>
        <color rgb="FF000000"/>
        <rFont val="Trebuchet MS"/>
      </rPr>
      <t xml:space="preserve"> </t>
    </r>
    <r>
      <rPr>
        <sz val="10"/>
        <color rgb="FF00B050"/>
        <rFont val="Trebuchet MS"/>
      </rPr>
      <t xml:space="preserve"> para  coadyuvar en la solución de los problemas psicológicos. 
</t>
    </r>
    <r>
      <rPr>
        <sz val="10"/>
        <color rgb="FF000000"/>
        <rFont val="Trebuchet MS"/>
      </rPr>
      <t xml:space="preserve">
</t>
    </r>
    <r>
      <rPr>
        <sz val="10"/>
        <color theme="4" tint="0.79998168889431442"/>
        <rFont val="Trebuchet MS"/>
        <family val="2"/>
      </rPr>
      <t>Diseñar propuestas de intervención que respondan a las necesidades del entorno a partir de la identificación de los modelos teóricos y las categorías conceptuales para  coadyuvar en la solución de los problemas psicológicos</t>
    </r>
  </si>
  <si>
    <r>
      <rPr>
        <b/>
        <sz val="10"/>
        <color rgb="FF00B0F0"/>
        <rFont val="Trebuchet MS"/>
      </rPr>
      <t>7.3.Desarrollar</t>
    </r>
    <r>
      <rPr>
        <sz val="10"/>
        <color rgb="FF000000"/>
        <rFont val="Trebuchet MS"/>
      </rPr>
      <t xml:space="preserve"> </t>
    </r>
    <r>
      <rPr>
        <sz val="10"/>
        <color rgb="FFFFC000"/>
        <rFont val="Trebuchet MS"/>
      </rPr>
      <t>propuestas de intervención  validando los referentes teóricos  planteados</t>
    </r>
    <r>
      <rPr>
        <sz val="10"/>
        <color rgb="FF000000"/>
        <rFont val="Trebuchet MS"/>
      </rPr>
      <t xml:space="preserve"> </t>
    </r>
    <r>
      <rPr>
        <sz val="10"/>
        <color rgb="FF00B050"/>
        <rFont val="Trebuchet MS"/>
      </rPr>
      <t>para la solución de problemas psicológicos </t>
    </r>
    <r>
      <rPr>
        <sz val="10"/>
        <color rgb="FFFF0000"/>
        <rFont val="Trebuchet MS"/>
      </rPr>
      <t xml:space="preserve">en los diferentes contextos. 
</t>
    </r>
    <r>
      <rPr>
        <sz val="10"/>
        <color theme="2"/>
        <rFont val="Trebuchet MS"/>
        <family val="2"/>
      </rPr>
      <t>Intervenir en el contexto social validando los referentes teóricos que sustentaron la propuesta planteada para la solución de problemas psicológicos</t>
    </r>
  </si>
  <si>
    <r>
      <rPr>
        <b/>
        <sz val="10"/>
        <color rgb="FF00B0F0"/>
        <rFont val="Trebuchet MS"/>
      </rPr>
      <t>8.1. Integrar</t>
    </r>
    <r>
      <rPr>
        <sz val="10"/>
        <color rgb="FFFFC000"/>
        <rFont val="Trebuchet MS"/>
      </rPr>
      <t xml:space="preserve"> las teorías psicológicas y evolutivas, </t>
    </r>
    <r>
      <rPr>
        <sz val="10"/>
        <color rgb="FFFF0000"/>
        <rFont val="Trebuchet MS"/>
      </rPr>
      <t>desde diferentes enfoques</t>
    </r>
    <r>
      <rPr>
        <sz val="10"/>
        <color rgb="FFFFC000"/>
        <rFont val="Trebuchet MS"/>
      </rPr>
      <t xml:space="preserve"> </t>
    </r>
    <r>
      <rPr>
        <sz val="10"/>
        <color rgb="FF00B050"/>
        <rFont val="Trebuchet MS"/>
      </rPr>
      <t xml:space="preserve">que 
permitan una comprensión del desarrollo psicológico del ser humano. 
</t>
    </r>
    <r>
      <rPr>
        <sz val="10"/>
        <color theme="2"/>
        <rFont val="Trebuchet MS"/>
        <family val="2"/>
      </rPr>
      <t xml:space="preserve">
Identificar las teorías psicológicas y evolutivas que 
permitan una comprensión del desarrollo psicológico del ser humano.</t>
    </r>
    <r>
      <rPr>
        <sz val="10"/>
        <color rgb="FF00B050"/>
        <rFont val="Trebuchet MS"/>
      </rPr>
      <t> </t>
    </r>
  </si>
  <si>
    <r>
      <rPr>
        <b/>
        <sz val="10"/>
        <color rgb="FF00B0F0"/>
        <rFont val="Trebuchet MS"/>
      </rPr>
      <t>8.2. Diseñar</t>
    </r>
    <r>
      <rPr>
        <sz val="10"/>
        <color rgb="FF000000"/>
        <rFont val="Trebuchet MS"/>
      </rPr>
      <t xml:space="preserve"> </t>
    </r>
    <r>
      <rPr>
        <sz val="10"/>
        <color rgb="FFFFC000"/>
        <rFont val="Trebuchet MS"/>
      </rPr>
      <t>propuestas de análisis y/o intervención</t>
    </r>
    <r>
      <rPr>
        <sz val="10"/>
        <color rgb="FF000000"/>
        <rFont val="Trebuchet MS"/>
      </rPr>
      <t xml:space="preserve"> </t>
    </r>
    <r>
      <rPr>
        <sz val="10"/>
        <color rgb="FFFF0000"/>
        <rFont val="Trebuchet MS"/>
      </rPr>
      <t>a partir de los principales problemas psicológicos</t>
    </r>
    <r>
      <rPr>
        <sz val="10"/>
        <color rgb="FF000000"/>
        <rFont val="Trebuchet MS"/>
      </rPr>
      <t> </t>
    </r>
    <r>
      <rPr>
        <sz val="10"/>
        <color rgb="FF00B050"/>
        <rFont val="Trebuchet MS"/>
      </rPr>
      <t xml:space="preserve">para contribuir al desarrollo individual y grupal del ser humano. 
</t>
    </r>
    <r>
      <rPr>
        <sz val="10"/>
        <color theme="4" tint="0.79998168889431442"/>
        <rFont val="Trebuchet MS"/>
        <family val="2"/>
      </rPr>
      <t>Diseñar propuestas de análisis y/o intervención de manera crítica y creativa que  respondan a los principales problemas psicológicos  en el desarrollo individual y grupal del ser humano</t>
    </r>
  </si>
  <si>
    <r>
      <rPr>
        <b/>
        <sz val="10"/>
        <color rgb="FF00B0F0"/>
        <rFont val="Trebuchet MS"/>
      </rPr>
      <t>8.3. Implementar</t>
    </r>
    <r>
      <rPr>
        <sz val="10"/>
        <color rgb="FFFFC000"/>
        <rFont val="Trebuchet MS"/>
      </rPr>
      <t xml:space="preserve"> propuestas de análisis y/o intervención </t>
    </r>
    <r>
      <rPr>
        <sz val="10"/>
        <color rgb="FFFF0000"/>
        <rFont val="Trebuchet MS"/>
      </rPr>
      <t xml:space="preserve">a partir de los principales problemas psicológicos </t>
    </r>
    <r>
      <rPr>
        <sz val="10"/>
        <color rgb="FF00B050"/>
        <rFont val="Trebuchet MS"/>
      </rPr>
      <t xml:space="preserve">para contribuir al desarrollo individual y grupal del ser humano. 
</t>
    </r>
    <r>
      <rPr>
        <sz val="10"/>
        <color theme="2"/>
        <rFont val="Trebuchet MS"/>
        <family val="2"/>
      </rPr>
      <t xml:space="preserve">
Implementar propuestas para la solución de problemas  psicológicos en el  desarrollo individual y grupal del ser humano </t>
    </r>
  </si>
  <si>
    <r>
      <rPr>
        <b/>
        <sz val="10"/>
        <color rgb="FF00B0F0"/>
        <rFont val="Trebuchet MS"/>
      </rPr>
      <t xml:space="preserve">9.2. Planear </t>
    </r>
    <r>
      <rPr>
        <b/>
        <sz val="10"/>
        <color rgb="FFFFC000"/>
        <rFont val="Trebuchet MS"/>
      </rPr>
      <t>el uso</t>
    </r>
    <r>
      <rPr>
        <sz val="10"/>
        <color rgb="FF4F81BD"/>
        <rFont val="Trebuchet MS"/>
      </rPr>
      <t xml:space="preserve"> </t>
    </r>
    <r>
      <rPr>
        <sz val="10"/>
        <color rgb="FFFFC000"/>
        <rFont val="Trebuchet MS"/>
      </rPr>
      <t>de los instrumentos de evaluación</t>
    </r>
    <r>
      <rPr>
        <sz val="10"/>
        <color rgb="FF4F81BD"/>
        <rFont val="Trebuchet MS"/>
      </rPr>
      <t xml:space="preserve"> </t>
    </r>
    <r>
      <rPr>
        <sz val="10"/>
        <color rgb="FFFF0000"/>
        <rFont val="Trebuchet MS"/>
      </rPr>
      <t xml:space="preserve">de acuerdo con las problemáticas psicológicas </t>
    </r>
    <r>
      <rPr>
        <sz val="10"/>
        <color rgb="FF00B050"/>
        <rFont val="Trebuchet MS"/>
      </rPr>
      <t xml:space="preserve">para garantizar el objetivo establecido. </t>
    </r>
    <r>
      <rPr>
        <sz val="10"/>
        <color rgb="FF4F81BD"/>
        <rFont val="Trebuchet MS"/>
      </rPr>
      <t xml:space="preserve">   
</t>
    </r>
    <r>
      <rPr>
        <sz val="10"/>
        <color theme="2"/>
        <rFont val="Trebuchet MS"/>
        <family val="2"/>
      </rPr>
      <t>Conocer la fundamentación teórica de los instrumentos de evaluación para garantizar su adecuada comprensión e interpretación de los resultados. 
Utilizar los instrumentos de evaluación de acuerdo con las problemáticas psicológicas para garantizar el objetivo de la evaluación  </t>
    </r>
  </si>
  <si>
    <r>
      <rPr>
        <b/>
        <sz val="10"/>
        <color rgb="FF00B0F0"/>
        <rFont val="Trebuchet MS"/>
      </rPr>
      <t xml:space="preserve">9.3. Utilizar </t>
    </r>
    <r>
      <rPr>
        <sz val="10"/>
        <color rgb="FF4F81BD"/>
        <rFont val="Trebuchet MS"/>
      </rPr>
      <t xml:space="preserve"> </t>
    </r>
    <r>
      <rPr>
        <sz val="10"/>
        <color rgb="FFFFC000"/>
        <rFont val="Trebuchet MS"/>
      </rPr>
      <t xml:space="preserve">los instrumentos de medición y evaluación psicológica </t>
    </r>
    <r>
      <rPr>
        <sz val="10"/>
        <color rgb="FFFF0000"/>
        <rFont val="Trebuchet MS"/>
      </rPr>
      <t>en un marco ético y objetivo</t>
    </r>
    <r>
      <rPr>
        <sz val="10"/>
        <color rgb="FFFFC000"/>
        <rFont val="Trebuchet MS"/>
      </rPr>
      <t xml:space="preserve"> </t>
    </r>
    <r>
      <rPr>
        <sz val="10"/>
        <color rgb="FF00B050"/>
        <rFont val="Trebuchet MS"/>
      </rPr>
      <t>para garantizar la confiabilidad de los resultados.</t>
    </r>
    <r>
      <rPr>
        <sz val="10"/>
        <color rgb="FF4F81BD"/>
        <rFont val="Trebuchet MS"/>
      </rPr>
      <t xml:space="preserve"> 
</t>
    </r>
    <r>
      <rPr>
        <sz val="10"/>
        <color theme="2"/>
        <rFont val="Trebuchet MS"/>
        <family val="2"/>
      </rPr>
      <t>Utilizar de manera ética y objetiva los instrumentos de medición y evaluación psicológica que garantice la confiabilidad de los resultados. </t>
    </r>
  </si>
  <si>
    <r>
      <rPr>
        <b/>
        <sz val="10"/>
        <color rgb="FF00B0F0"/>
        <rFont val="Trebuchet MS"/>
      </rPr>
      <t xml:space="preserve">9.4. Valorar </t>
    </r>
    <r>
      <rPr>
        <sz val="10"/>
        <color rgb="FFFFC000"/>
        <rFont val="Trebuchet MS"/>
      </rPr>
      <t>los resultados</t>
    </r>
    <r>
      <rPr>
        <sz val="10"/>
        <color rgb="FF000000"/>
        <rFont val="Trebuchet MS"/>
      </rPr>
      <t xml:space="preserve"> </t>
    </r>
    <r>
      <rPr>
        <sz val="10"/>
        <color rgb="FFFF0000"/>
        <rFont val="Trebuchet MS"/>
      </rPr>
      <t>de manera reflexiva y crítica</t>
    </r>
    <r>
      <rPr>
        <sz val="10"/>
        <color rgb="FF00B050"/>
        <rFont val="Trebuchet MS"/>
      </rPr>
      <t xml:space="preserve"> para la elaboración de perfiles individuales y/o grupales. 
</t>
    </r>
    <r>
      <rPr>
        <sz val="10"/>
        <color theme="2"/>
        <rFont val="Trebuchet MS"/>
        <family val="2"/>
      </rPr>
      <t xml:space="preserve">
Evaluar de manera reflexiva y crítica los resultados para la elaboración y sistematización de datos obtenidos </t>
    </r>
  </si>
  <si>
    <r>
      <rPr>
        <b/>
        <sz val="10"/>
        <color rgb="FF00B0F0"/>
        <rFont val="Trebuchet MS"/>
      </rPr>
      <t xml:space="preserve">Considerar </t>
    </r>
    <r>
      <rPr>
        <sz val="10"/>
        <color rgb="FFFFC000"/>
        <rFont val="Trebuchet MS"/>
      </rPr>
      <t xml:space="preserve">los fundamentos teóricos de los procesos psicológicos básicos, la psicología individual y de grupos </t>
    </r>
    <r>
      <rPr>
        <sz val="10"/>
        <color rgb="FFFF0000"/>
        <rFont val="Trebuchet MS"/>
      </rPr>
      <t>a través de la revisión de las teorías psicológicas y evolutivas</t>
    </r>
    <r>
      <rPr>
        <sz val="10"/>
        <color rgb="FF4F81BD"/>
        <rFont val="Trebuchet MS"/>
      </rPr>
      <t xml:space="preserve"> </t>
    </r>
    <r>
      <rPr>
        <sz val="10"/>
        <color rgb="FF00B050"/>
        <rFont val="Trebuchet MS"/>
      </rPr>
      <t xml:space="preserve">para  la comprensión del desarrollo integral del ser humano.
</t>
    </r>
    <r>
      <rPr>
        <sz val="10"/>
        <color theme="2"/>
        <rFont val="Trebuchet MS"/>
        <family val="2"/>
      </rPr>
      <t xml:space="preserve">
Valorar modelos teóricos y epistemológicos de la disciplina psicológica desde una perspectiva interdisciplinar que responda a la generación de conocimiento científico permitiendo afrontar los desafíos contemporáneos de la psicología, articulando estos saberes al devenir del ser humano en su contexto biológico, social y cultural.</t>
    </r>
  </si>
  <si>
    <r>
      <rPr>
        <sz val="10"/>
        <color rgb="FF00B0F0"/>
        <rFont val="Trebuchet MS"/>
      </rPr>
      <t>Evaluar</t>
    </r>
    <r>
      <rPr>
        <sz val="10"/>
        <color rgb="FFFF0000"/>
        <rFont val="Trebuchet MS"/>
      </rPr>
      <t xml:space="preserve"> </t>
    </r>
    <r>
      <rPr>
        <sz val="10"/>
        <color rgb="FFFFC000"/>
        <rFont val="Trebuchet MS"/>
      </rPr>
      <t>las dimensiones del ser humano</t>
    </r>
    <r>
      <rPr>
        <sz val="10"/>
        <color rgb="FFFF0000"/>
        <rFont val="Trebuchet MS"/>
      </rPr>
      <t xml:space="preserve"> </t>
    </r>
    <r>
      <rPr>
        <sz val="10"/>
        <color rgb="FF00B050"/>
        <rFont val="Trebuchet MS"/>
      </rPr>
      <t xml:space="preserve">mediante el diseño y/o aplicación de instrumentos psicológicos con el objetivo de cuantificar y cualificar las características individuales y grupales </t>
    </r>
    <r>
      <rPr>
        <sz val="10"/>
        <color rgb="FFFF0000"/>
        <rFont val="Trebuchet MS"/>
      </rPr>
      <t xml:space="preserve">en las diferentes áreas de la psicología. 
</t>
    </r>
    <r>
      <rPr>
        <sz val="10"/>
        <color theme="2"/>
        <rFont val="Trebuchet MS"/>
        <family val="2"/>
      </rPr>
      <t xml:space="preserve">
Aplicar adecuadamente los instrumentos de medición y evaluación psicológica de  manera ética con el objetivo de cuantificar y cualificar las características humanas individuales y grupales y de esta forma objetivizar los procesos de evaluación. </t>
    </r>
  </si>
  <si>
    <r>
      <rPr>
        <sz val="10"/>
        <color rgb="FF000000"/>
        <rFont val="Trebuchet MS"/>
      </rPr>
      <t xml:space="preserve">
</t>
    </r>
    <r>
      <rPr>
        <b/>
        <sz val="10"/>
        <color rgb="FF00B0F0"/>
        <rFont val="Trebuchet MS"/>
      </rPr>
      <t>Proponer</t>
    </r>
    <r>
      <rPr>
        <b/>
        <sz val="10"/>
        <color rgb="FF000000"/>
        <rFont val="Trebuchet MS"/>
      </rPr>
      <t xml:space="preserve"> </t>
    </r>
    <r>
      <rPr>
        <sz val="10"/>
        <color rgb="FF000000"/>
        <rFont val="Trebuchet MS"/>
      </rPr>
      <t xml:space="preserve"> </t>
    </r>
    <r>
      <rPr>
        <sz val="10"/>
        <color rgb="FFFFC000"/>
        <rFont val="Trebuchet MS"/>
      </rPr>
      <t xml:space="preserve">proyectos o estrategias interdisciplinares de intervención  </t>
    </r>
    <r>
      <rPr>
        <sz val="10"/>
        <color rgb="FF00B050"/>
        <rFont val="Trebuchet MS"/>
      </rPr>
      <t xml:space="preserve">para la solución de problemas psicológicos </t>
    </r>
    <r>
      <rPr>
        <sz val="10"/>
        <color rgb="FFFF0000"/>
        <rFont val="Trebuchet MS"/>
      </rPr>
      <t xml:space="preserve">con base en los principios éticos y la normatividad vigente. 
</t>
    </r>
    <r>
      <rPr>
        <sz val="10"/>
        <color theme="2"/>
        <rFont val="Trebuchet MS"/>
        <family val="2"/>
      </rPr>
      <t xml:space="preserve">
Proponer alternativas para la solución de problemas psicológicos mediante el diseño de programas interdisciplinares de intervención fundamentadas en la promoción y prevención; considerando los principios éticos y la normatividad vigente.</t>
    </r>
  </si>
  <si>
    <r>
      <rPr>
        <b/>
        <sz val="10"/>
        <color rgb="FF00B0F0"/>
        <rFont val="Trebuchet MS"/>
      </rPr>
      <t>10.1. Analizar</t>
    </r>
    <r>
      <rPr>
        <sz val="10"/>
        <color rgb="FF000000"/>
        <rFont val="Trebuchet MS"/>
      </rPr>
      <t xml:space="preserve"> </t>
    </r>
    <r>
      <rPr>
        <sz val="10"/>
        <color rgb="FFFFC000"/>
        <rFont val="Trebuchet MS"/>
      </rPr>
      <t>los problemas relevantes con base a un modelo psicológico</t>
    </r>
    <r>
      <rPr>
        <sz val="10"/>
        <color rgb="FF000000"/>
        <rFont val="Trebuchet MS"/>
      </rPr>
      <t xml:space="preserve"> </t>
    </r>
    <r>
      <rPr>
        <sz val="10"/>
        <color rgb="FF00B050"/>
        <rFont val="Trebuchet MS"/>
      </rPr>
      <t>para la intervención individual y grupal,</t>
    </r>
    <r>
      <rPr>
        <sz val="10"/>
        <color rgb="FF000000"/>
        <rFont val="Trebuchet MS"/>
      </rPr>
      <t xml:space="preserve"> </t>
    </r>
    <r>
      <rPr>
        <sz val="10"/>
        <color rgb="FFFF0000"/>
        <rFont val="Trebuchet MS"/>
      </rPr>
      <t xml:space="preserve">de acuerdo a las características y necesidades del contexto.
</t>
    </r>
    <r>
      <rPr>
        <sz val="10"/>
        <color theme="2"/>
        <rFont val="Trebuchet MS"/>
        <family val="2"/>
      </rPr>
      <t>Diagnosticar los problemas relevantes con base a un modelo psicológico para la intervención individual y grupal, teniendo en cuenta las características y necesidades del contexto</t>
    </r>
  </si>
  <si>
    <r>
      <rPr>
        <b/>
        <sz val="10"/>
        <color rgb="FF00B0F0"/>
        <rFont val="Trebuchet MS"/>
      </rPr>
      <t>10.2. Diseñar</t>
    </r>
    <r>
      <rPr>
        <sz val="10"/>
        <color rgb="FF000000"/>
        <rFont val="Trebuchet MS"/>
      </rPr>
      <t xml:space="preserve"> </t>
    </r>
    <r>
      <rPr>
        <sz val="10"/>
        <color rgb="FFFFC000"/>
        <rFont val="Trebuchet MS"/>
      </rPr>
      <t xml:space="preserve">proyectos o estrategias de intervención psicológica </t>
    </r>
    <r>
      <rPr>
        <sz val="10"/>
        <color rgb="FF00B050"/>
        <rFont val="Trebuchet MS"/>
      </rPr>
      <t>que promuevan la salud mental y  la calidad de vida</t>
    </r>
    <r>
      <rPr>
        <sz val="10"/>
        <color rgb="FFFF0000"/>
        <rFont val="Trebuchet MS"/>
      </rPr>
      <t xml:space="preserve"> en los individuos, grupos, organizaciones y comunidades.</t>
    </r>
    <r>
      <rPr>
        <sz val="10"/>
        <color rgb="FF000000"/>
        <rFont val="Trebuchet MS"/>
      </rPr>
      <t xml:space="preserve">  
</t>
    </r>
    <r>
      <rPr>
        <sz val="10"/>
        <color theme="2"/>
        <rFont val="Trebuchet MS"/>
        <family val="2"/>
      </rPr>
      <t xml:space="preserve">
Diseñar programas de intervención psicológica que promuevan la salud mental, la calidad de vida y el bienestar de los individuos, grupos, organizaciones y comunidades, así como la prevención de problemas psicológicos</t>
    </r>
  </si>
  <si>
    <r>
      <rPr>
        <b/>
        <sz val="10"/>
        <color rgb="FF00B0F0"/>
        <rFont val="Trebuchet MS"/>
      </rPr>
      <t>10.3. Ejecutar</t>
    </r>
    <r>
      <rPr>
        <sz val="10"/>
        <color rgb="FF000000"/>
        <rFont val="Trebuchet MS"/>
      </rPr>
      <t xml:space="preserve"> </t>
    </r>
    <r>
      <rPr>
        <sz val="10"/>
        <color rgb="FFFFC000"/>
        <rFont val="Trebuchet MS"/>
      </rPr>
      <t>proyectos o estrategias interdisciplinarios de intervención</t>
    </r>
    <r>
      <rPr>
        <sz val="10"/>
        <color rgb="FF000000"/>
        <rFont val="Trebuchet MS"/>
      </rPr>
      <t xml:space="preserve"> </t>
    </r>
    <r>
      <rPr>
        <sz val="10"/>
        <color rgb="FF00B050"/>
        <rFont val="Trebuchet MS"/>
      </rPr>
      <t xml:space="preserve">que promueven la salud mental y la calidad de vida </t>
    </r>
    <r>
      <rPr>
        <sz val="10"/>
        <color rgb="FFFF0000"/>
        <rFont val="Trebuchet MS"/>
      </rPr>
      <t xml:space="preserve">en  los individuos, grupos, organizaciones y comunidades.
</t>
    </r>
    <r>
      <rPr>
        <sz val="10"/>
        <color theme="2"/>
        <rFont val="Trebuchet MS"/>
        <family val="2"/>
      </rPr>
      <t xml:space="preserve">
Ejecutar programas interdisciplinarios de intervención psicológica que promueven la salud mental y el bienestar de los individuos, grupos, organizaciones y comunidades, así como la prevención de problemas psicológicos. </t>
    </r>
  </si>
  <si>
    <r>
      <rPr>
        <b/>
        <sz val="10"/>
        <color rgb="FF00B0F0"/>
        <rFont val="Trebuchet MS"/>
      </rPr>
      <t>10.4 Evaluar</t>
    </r>
    <r>
      <rPr>
        <sz val="10"/>
        <color rgb="FF000000"/>
        <rFont val="Trebuchet MS"/>
      </rPr>
      <t xml:space="preserve"> </t>
    </r>
    <r>
      <rPr>
        <sz val="10"/>
        <color rgb="FFFFC000"/>
        <rFont val="Trebuchet MS"/>
      </rPr>
      <t xml:space="preserve">los resultados de los proyectos o estrategias de intervención </t>
    </r>
    <r>
      <rPr>
        <sz val="10"/>
        <color rgb="FF00B050"/>
        <rFont val="Trebuchet MS"/>
      </rPr>
      <t>para prevenir los problemas psicológicos individuales y grupales,</t>
    </r>
    <r>
      <rPr>
        <sz val="10"/>
        <color rgb="FF000000"/>
        <rFont val="Trebuchet MS"/>
      </rPr>
      <t xml:space="preserve"> </t>
    </r>
    <r>
      <rPr>
        <sz val="10"/>
        <color rgb="FFFF0000"/>
        <rFont val="Trebuchet MS"/>
      </rPr>
      <t xml:space="preserve">teniendo en cuenta los principios éticos y la normativa vigente.
</t>
    </r>
    <r>
      <rPr>
        <sz val="10"/>
        <color theme="2"/>
        <rFont val="Trebuchet MS"/>
        <family val="2"/>
      </rPr>
      <t>Evaluar los resultados de los programas de intervención psicológica teniendo en cuenta los principios éticos y la normativa vigente para prevenir los problemas psicológicos individuales y grupales.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</si>
</sst>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5">
    <font>
      <sz val="11"/>
      <color theme="1"/>
      <name val="Arial"/>
    </font>
    <font>
      <sz val="11"/>
      <color theme="1"/>
      <name val="Calibri"/>
      <family val="2"/>
      <scheme val="minor"/>
    </font>
    <font>
      <sz val="10"/>
      <color theme="1"/>
      <name val="Trebuchet MS"/>
      <family val="2"/>
    </font>
    <font>
      <sz val="11"/>
      <name val="Arial"/>
      <family val="2"/>
    </font>
    <font>
      <sz val="12"/>
      <color theme="1"/>
      <name val="Trebuchet MS"/>
      <family val="2"/>
    </font>
    <font>
      <b/>
      <sz val="12"/>
      <color theme="1"/>
      <name val="Trebuchet MS"/>
      <family val="2"/>
    </font>
    <font>
      <b/>
      <sz val="10"/>
      <color theme="1"/>
      <name val="Trebuchet MS"/>
      <family val="2"/>
    </font>
    <font>
      <sz val="14"/>
      <color theme="1"/>
      <name val="Trebuchet MS"/>
      <family val="2"/>
    </font>
    <font>
      <b/>
      <sz val="11"/>
      <color theme="1"/>
      <name val="Trebuchet MS"/>
      <family val="2"/>
    </font>
    <font>
      <sz val="11"/>
      <color theme="1"/>
      <name val="Trebuchet MS"/>
      <family val="2"/>
    </font>
    <font>
      <sz val="11"/>
      <color rgb="FF000000"/>
      <name val="Trebuchet MS"/>
      <family val="2"/>
    </font>
    <font>
      <b/>
      <sz val="16"/>
      <color theme="1"/>
      <name val="Calibri"/>
      <family val="2"/>
    </font>
    <font>
      <sz val="12"/>
      <color rgb="FF000000"/>
      <name val="Trebuchet MS"/>
      <family val="2"/>
    </font>
    <font>
      <sz val="9"/>
      <color theme="1"/>
      <name val="Calibri"/>
      <family val="2"/>
    </font>
    <font>
      <b/>
      <sz val="12"/>
      <color theme="1"/>
      <name val="Calibri"/>
      <family val="2"/>
    </font>
    <font>
      <b/>
      <sz val="11"/>
      <color rgb="FFFFFFFF"/>
      <name val="Calibri"/>
      <family val="2"/>
    </font>
    <font>
      <sz val="12"/>
      <name val="Arial"/>
      <family val="2"/>
    </font>
    <font>
      <b/>
      <sz val="14"/>
      <color rgb="FF000000"/>
      <name val="Calibri"/>
      <family val="2"/>
    </font>
    <font>
      <sz val="14"/>
      <color theme="1"/>
      <name val="Calibri"/>
      <family val="2"/>
    </font>
    <font>
      <sz val="14"/>
      <name val="Arial"/>
      <family val="2"/>
    </font>
    <font>
      <b/>
      <sz val="14"/>
      <color rgb="FF000000"/>
      <name val="Trebuchet MS"/>
      <family val="2"/>
    </font>
    <font>
      <b/>
      <sz val="14"/>
      <color theme="1"/>
      <name val="Calibri"/>
      <family val="2"/>
    </font>
    <font>
      <b/>
      <sz val="11"/>
      <color theme="1"/>
      <name val="Arial"/>
      <family val="2"/>
    </font>
    <font>
      <b/>
      <sz val="9"/>
      <color rgb="FFFFFFFF"/>
      <name val="&quot;Trebuchet MS&quot;"/>
    </font>
    <font>
      <b/>
      <sz val="10"/>
      <color rgb="FFFFFFFF"/>
      <name val="Trebuchet MS"/>
      <family val="2"/>
    </font>
    <font>
      <sz val="10"/>
      <color rgb="FF000000"/>
      <name val="Trebuchet MS"/>
      <family val="2"/>
    </font>
    <font>
      <sz val="12"/>
      <name val="Trebuchet MS"/>
      <family val="2"/>
    </font>
    <font>
      <b/>
      <sz val="11"/>
      <color rgb="FF000000"/>
      <name val="Arial"/>
      <family val="2"/>
    </font>
    <font>
      <b/>
      <sz val="11"/>
      <name val="Calibri"/>
      <family val="2"/>
    </font>
    <font>
      <b/>
      <sz val="11"/>
      <color rgb="FF000000"/>
      <name val="Calibri"/>
      <family val="2"/>
    </font>
    <font>
      <b/>
      <sz val="11"/>
      <color rgb="FF000000"/>
      <name val="Trebuchet MS"/>
      <family val="2"/>
    </font>
    <font>
      <b/>
      <sz val="18"/>
      <color theme="1"/>
      <name val="Calibri"/>
      <family val="2"/>
    </font>
    <font>
      <b/>
      <sz val="18"/>
      <color theme="1"/>
      <name val="Arial"/>
      <family val="2"/>
    </font>
    <font>
      <sz val="12"/>
      <color rgb="FF000000"/>
      <name val="&quot;Trebuchet MS&quot;"/>
    </font>
    <font>
      <b/>
      <sz val="12"/>
      <color theme="1"/>
      <name val="Arial"/>
      <family val="2"/>
    </font>
    <font>
      <b/>
      <sz val="11"/>
      <name val="Trebuchet MS"/>
      <family val="2"/>
    </font>
    <font>
      <sz val="11"/>
      <color theme="1"/>
      <name val="Arial"/>
      <family val="2"/>
    </font>
    <font>
      <sz val="11"/>
      <color theme="1"/>
      <name val="Calibri"/>
      <family val="2"/>
      <scheme val="minor"/>
    </font>
    <font>
      <b/>
      <sz val="10"/>
      <color rgb="FF000000"/>
      <name val="Trebuchet MS"/>
      <family val="2"/>
    </font>
    <font>
      <sz val="11"/>
      <name val="Calibri"/>
      <family val="2"/>
    </font>
    <font>
      <b/>
      <sz val="18"/>
      <color rgb="FFFFFFFF"/>
      <name val="&quot;Trebuchet MS&quot;"/>
    </font>
    <font>
      <sz val="8"/>
      <color rgb="FF000000"/>
      <name val="Roboto"/>
    </font>
    <font>
      <b/>
      <sz val="9"/>
      <color rgb="FF000000"/>
      <name val="&quot;Trebuchet MS&quot;"/>
    </font>
    <font>
      <sz val="9"/>
      <color rgb="FF000000"/>
      <name val="&quot;Trebuchet MS&quot;"/>
    </font>
    <font>
      <b/>
      <sz val="11"/>
      <color rgb="FFFFFFFF"/>
      <name val="Calibri"/>
      <family val="2"/>
      <scheme val="minor"/>
    </font>
    <font>
      <sz val="11"/>
      <color rgb="FF000000"/>
      <name val="&quot;Trebuchet MS&quot;"/>
    </font>
    <font>
      <sz val="11"/>
      <color rgb="FF000000"/>
      <name val="Arial"/>
      <family val="2"/>
    </font>
    <font>
      <sz val="11"/>
      <color rgb="FF000000"/>
      <name val="Calibri"/>
      <family val="2"/>
    </font>
    <font>
      <sz val="14"/>
      <color rgb="FF000000"/>
      <name val="Trebuchet MS"/>
      <family val="2"/>
    </font>
    <font>
      <b/>
      <sz val="12"/>
      <color theme="8" tint="0.79998168889431442"/>
      <name val="Trebuchet MS"/>
      <family val="2"/>
    </font>
    <font>
      <sz val="12"/>
      <color rgb="FF4D5156"/>
      <name val="Google Sans"/>
    </font>
    <font>
      <sz val="11"/>
      <color theme="1"/>
      <name val="Arial"/>
      <family val="2"/>
    </font>
    <font>
      <b/>
      <sz val="11"/>
      <color theme="1"/>
      <name val="Calibri"/>
      <family val="2"/>
      <scheme val="minor"/>
    </font>
    <font>
      <sz val="10"/>
      <name val="Arial"/>
      <family val="2"/>
    </font>
    <font>
      <sz val="7"/>
      <name val="Tahoma"/>
      <family val="2"/>
    </font>
    <font>
      <sz val="12"/>
      <name val="Tahoma"/>
      <family val="2"/>
    </font>
    <font>
      <b/>
      <sz val="10"/>
      <name val="Arial"/>
      <family val="2"/>
    </font>
    <font>
      <b/>
      <sz val="12"/>
      <name val="Arial"/>
      <family val="2"/>
    </font>
    <font>
      <b/>
      <sz val="8"/>
      <name val="Tahoma"/>
      <family val="2"/>
    </font>
    <font>
      <b/>
      <sz val="8"/>
      <name val="Arial"/>
      <family val="2"/>
    </font>
    <font>
      <sz val="24"/>
      <name val="Tahoma"/>
      <family val="2"/>
    </font>
    <font>
      <b/>
      <sz val="14"/>
      <name val="Tahoma"/>
      <family val="2"/>
    </font>
    <font>
      <b/>
      <sz val="9"/>
      <name val="Tahoma"/>
      <family val="2"/>
    </font>
    <font>
      <b/>
      <sz val="12"/>
      <name val="Tahoma"/>
      <family val="2"/>
    </font>
    <font>
      <sz val="10"/>
      <name val="Tahoma"/>
      <family val="2"/>
    </font>
    <font>
      <sz val="11"/>
      <name val="Tahoma"/>
      <family val="2"/>
    </font>
    <font>
      <sz val="9"/>
      <name val="Tahoma"/>
      <family val="2"/>
    </font>
    <font>
      <b/>
      <sz val="9"/>
      <name val="Arial"/>
      <family val="2"/>
    </font>
    <font>
      <b/>
      <sz val="12"/>
      <color indexed="81"/>
      <name val="Tahoma"/>
      <family val="2"/>
    </font>
    <font>
      <sz val="12"/>
      <color indexed="81"/>
      <name val="Tahoma"/>
      <family val="2"/>
    </font>
    <font>
      <b/>
      <sz val="11"/>
      <color indexed="81"/>
      <name val="Tahoma"/>
      <family val="2"/>
    </font>
    <font>
      <sz val="11"/>
      <color indexed="81"/>
      <name val="Tahoma"/>
      <family val="2"/>
    </font>
    <font>
      <sz val="12"/>
      <color theme="0" tint="-0.34998626667073579"/>
      <name val="Trebuchet MS"/>
      <family val="2"/>
    </font>
    <font>
      <sz val="10"/>
      <name val="Trebuchet MS"/>
      <family val="2"/>
    </font>
    <font>
      <b/>
      <sz val="10"/>
      <name val="Trebuchet MS"/>
      <family val="2"/>
    </font>
    <font>
      <sz val="10"/>
      <name val="Calibri"/>
      <family val="2"/>
      <scheme val="major"/>
    </font>
    <font>
      <b/>
      <sz val="10"/>
      <name val="Calibri"/>
      <family val="2"/>
      <scheme val="major"/>
    </font>
    <font>
      <sz val="10"/>
      <name val="Calibri"/>
      <family val="2"/>
    </font>
    <font>
      <sz val="11"/>
      <name val="&quot;Trebuchet MS&quot;"/>
    </font>
    <font>
      <sz val="9"/>
      <name val="&quot;Trebuchet MS&quot;"/>
    </font>
    <font>
      <sz val="11"/>
      <name val="Trebuchet MS"/>
      <family val="2"/>
    </font>
    <font>
      <sz val="9"/>
      <name val="Arial"/>
      <family val="2"/>
    </font>
    <font>
      <sz val="10"/>
      <color rgb="FF444444"/>
      <name val="Trebuchet MS"/>
      <family val="2"/>
    </font>
    <font>
      <b/>
      <sz val="10"/>
      <color theme="0"/>
      <name val="Trebuchet MS"/>
      <family val="2"/>
    </font>
    <font>
      <sz val="10"/>
      <color theme="0"/>
      <name val="Trebuchet MS"/>
      <family val="2"/>
    </font>
    <font>
      <sz val="11"/>
      <color theme="0"/>
      <name val="Arial"/>
      <family val="2"/>
    </font>
    <font>
      <sz val="10"/>
      <color rgb="FF000000"/>
      <name val="Trebuchet MS"/>
    </font>
    <font>
      <b/>
      <sz val="10"/>
      <color rgb="FF4BACC6"/>
      <name val="Trebuchet MS"/>
    </font>
    <font>
      <sz val="10"/>
      <color rgb="FFFFC000"/>
      <name val="Trebuchet MS"/>
    </font>
    <font>
      <sz val="10"/>
      <color rgb="FF00B050"/>
      <name val="Trebuchet MS"/>
    </font>
    <font>
      <sz val="10"/>
      <color rgb="FFFF0000"/>
      <name val="Trebuchet MS"/>
    </font>
    <font>
      <b/>
      <sz val="11"/>
      <color rgb="FF000000"/>
      <name val="Arial"/>
    </font>
    <font>
      <b/>
      <sz val="11"/>
      <color rgb="FF00B0F0"/>
      <name val="Arial"/>
    </font>
    <font>
      <sz val="11"/>
      <color rgb="FF000000"/>
      <name val="Arial"/>
    </font>
    <font>
      <sz val="11"/>
      <color rgb="FFFFC000"/>
      <name val="Arial"/>
    </font>
    <font>
      <sz val="11"/>
      <color rgb="FF00B050"/>
      <name val="Arial"/>
    </font>
    <font>
      <sz val="11"/>
      <color rgb="FFFF0000"/>
      <name val="Arial"/>
    </font>
    <font>
      <sz val="12"/>
      <color rgb="FF404040"/>
      <name val="Trebuchet MS"/>
      <charset val="1"/>
    </font>
    <font>
      <sz val="12"/>
      <color rgb="FF1B1810"/>
      <name val="Trebuchet MS"/>
      <charset val="1"/>
    </font>
    <font>
      <sz val="11"/>
      <color rgb="FF000000"/>
      <name val="Calibri"/>
    </font>
    <font>
      <b/>
      <sz val="11"/>
      <color rgb="FF00B0F0"/>
      <name val="Calibri"/>
    </font>
    <font>
      <sz val="11"/>
      <color rgb="FFFFC000"/>
      <name val="Calibri"/>
    </font>
    <font>
      <sz val="11"/>
      <color rgb="FFFF0000"/>
      <name val="Calibri"/>
    </font>
    <font>
      <sz val="11"/>
      <color rgb="FF00B050"/>
      <name val="Calibri"/>
    </font>
    <font>
      <sz val="12"/>
      <color rgb="FF000000"/>
      <name val="Trebuchet MS"/>
      <charset val="1"/>
    </font>
    <font>
      <sz val="11"/>
      <color rgb="FF00B0F0"/>
      <name val="Calibri"/>
    </font>
    <font>
      <b/>
      <sz val="10"/>
      <color rgb="FF00B0F0"/>
      <name val="Trebuchet MS"/>
    </font>
    <font>
      <b/>
      <sz val="11"/>
      <color rgb="FFFFC000"/>
      <name val="Calibri"/>
    </font>
    <font>
      <sz val="11"/>
      <color theme="1"/>
      <name val="Calibri"/>
    </font>
    <font>
      <sz val="10"/>
      <color theme="4"/>
      <name val="Trebuchet MS"/>
    </font>
    <font>
      <sz val="10"/>
      <color rgb="FF4F81BD"/>
      <name val="Trebuchet MS"/>
    </font>
    <font>
      <b/>
      <sz val="11"/>
      <color rgb="FF5B9BD5"/>
      <name val="Calibri"/>
    </font>
    <font>
      <b/>
      <sz val="11"/>
      <color rgb="FFFF0000"/>
      <name val="Calibri"/>
    </font>
    <font>
      <b/>
      <sz val="11"/>
      <color rgb="FF00B050"/>
      <name val="Calibri"/>
    </font>
    <font>
      <sz val="10"/>
      <color theme="4"/>
      <name val="Trebuchet MS"/>
      <family val="2"/>
    </font>
    <font>
      <sz val="10"/>
      <name val="Trebuchet MS"/>
    </font>
    <font>
      <b/>
      <sz val="11"/>
      <color theme="1"/>
      <name val="Calibri"/>
    </font>
    <font>
      <sz val="10"/>
      <color rgb="FF000000"/>
      <name val="Trebuchet MS"/>
      <charset val="1"/>
    </font>
    <font>
      <b/>
      <sz val="11"/>
      <color rgb="FF000000"/>
      <name val="Calibri"/>
    </font>
    <font>
      <sz val="10"/>
      <color rgb="FF00B0F0"/>
      <name val="Trebuchet MS"/>
    </font>
    <font>
      <b/>
      <sz val="10"/>
      <color rgb="FFFFC000"/>
      <name val="Trebuchet MS"/>
    </font>
    <font>
      <sz val="11"/>
      <color rgb="FF4472C4"/>
      <name val="Calibri"/>
    </font>
    <font>
      <sz val="10"/>
      <color theme="1"/>
      <name val="Trebuchet MS"/>
    </font>
    <font>
      <b/>
      <sz val="10"/>
      <color rgb="FF000000"/>
      <name val="Trebuchet MS"/>
    </font>
    <font>
      <sz val="11"/>
      <color theme="1"/>
      <name val="Calibri"/>
      <scheme val="minor"/>
    </font>
    <font>
      <sz val="11"/>
      <color rgb="FF00B0F0"/>
      <name val="Calibri"/>
      <scheme val="minor"/>
    </font>
    <font>
      <sz val="11"/>
      <color rgb="FFFFC000"/>
      <name val="Calibri"/>
      <scheme val="minor"/>
    </font>
    <font>
      <sz val="11"/>
      <color rgb="FFFF0000"/>
      <name val="Calibri"/>
      <scheme val="minor"/>
    </font>
    <font>
      <sz val="11"/>
      <color rgb="FF000000"/>
      <name val="Calibri"/>
      <scheme val="minor"/>
    </font>
    <font>
      <sz val="11"/>
      <color rgb="FF00B050"/>
      <name val="Calibri"/>
      <scheme val="minor"/>
    </font>
    <font>
      <sz val="11"/>
      <color rgb="FF5B9BD5"/>
      <name val="Calibri"/>
      <scheme val="minor"/>
    </font>
    <font>
      <sz val="11"/>
      <color rgb="FF92D050"/>
      <name val="Calibri"/>
      <scheme val="minor"/>
    </font>
    <font>
      <sz val="11"/>
      <color theme="4" tint="0.79998168889431442"/>
      <name val="Trebuchet MS"/>
      <family val="2"/>
    </font>
    <font>
      <sz val="10"/>
      <color theme="2"/>
      <name val="Trebuchet MS"/>
      <family val="2"/>
    </font>
    <font>
      <sz val="10"/>
      <color theme="4" tint="0.79998168889431442"/>
      <name val="Trebuchet MS"/>
      <family val="2"/>
    </font>
  </fonts>
  <fills count="39">
    <fill>
      <patternFill patternType="none"/>
    </fill>
    <fill>
      <patternFill patternType="gray125"/>
    </fill>
    <fill>
      <patternFill patternType="solid">
        <fgColor theme="0"/>
        <bgColor theme="0"/>
      </patternFill>
    </fill>
    <fill>
      <patternFill patternType="solid">
        <fgColor rgb="FFDBE5F1"/>
        <bgColor rgb="FFDBE5F1"/>
      </patternFill>
    </fill>
    <fill>
      <patternFill patternType="solid">
        <fgColor rgb="FF5B9BD5"/>
        <bgColor rgb="FF5B9BD5"/>
      </patternFill>
    </fill>
    <fill>
      <patternFill patternType="solid">
        <fgColor rgb="FFDEEAF6"/>
        <bgColor rgb="FFDEEAF6"/>
      </patternFill>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
      <patternFill patternType="solid">
        <fgColor rgb="FF2E74B5"/>
        <bgColor rgb="FF2E74B5"/>
      </patternFill>
    </fill>
    <fill>
      <patternFill patternType="solid">
        <fgColor theme="8" tint="0.79998168889431442"/>
        <bgColor indexed="64"/>
      </patternFill>
    </fill>
    <fill>
      <patternFill patternType="solid">
        <fgColor theme="8" tint="0.79998168889431442"/>
        <bgColor theme="0"/>
      </patternFill>
    </fill>
    <fill>
      <patternFill patternType="solid">
        <fgColor theme="8"/>
        <bgColor indexed="64"/>
      </patternFill>
    </fill>
    <fill>
      <patternFill patternType="solid">
        <fgColor theme="8"/>
        <bgColor theme="0"/>
      </patternFill>
    </fill>
    <fill>
      <patternFill patternType="solid">
        <fgColor theme="6" tint="-0.249977111117893"/>
        <bgColor indexed="64"/>
      </patternFill>
    </fill>
    <fill>
      <patternFill patternType="solid">
        <fgColor theme="7" tint="-0.249977111117893"/>
        <bgColor indexed="64"/>
      </patternFill>
    </fill>
    <fill>
      <patternFill patternType="solid">
        <fgColor theme="9" tint="-0.249977111117893"/>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theme="6" tint="-0.499984740745262"/>
        <bgColor indexed="64"/>
      </patternFill>
    </fill>
    <fill>
      <patternFill patternType="solid">
        <fgColor theme="0" tint="-0.499984740745262"/>
        <bgColor indexed="64"/>
      </patternFill>
    </fill>
    <fill>
      <patternFill patternType="solid">
        <fgColor theme="2" tint="-0.499984740745262"/>
        <bgColor indexed="64"/>
      </patternFill>
    </fill>
    <fill>
      <patternFill patternType="solid">
        <fgColor theme="0"/>
        <bgColor rgb="FFDEEAF6"/>
      </patternFill>
    </fill>
    <fill>
      <patternFill patternType="solid">
        <fgColor theme="5" tint="0.39997558519241921"/>
        <bgColor indexed="64"/>
      </patternFill>
    </fill>
    <fill>
      <patternFill patternType="solid">
        <fgColor theme="5" tint="0.39997558519241921"/>
        <bgColor theme="0"/>
      </patternFill>
    </fill>
    <fill>
      <patternFill patternType="solid">
        <fgColor rgb="FFFFFF00"/>
        <bgColor rgb="FFDEEAF6"/>
      </patternFill>
    </fill>
    <fill>
      <patternFill patternType="solid">
        <fgColor theme="4" tint="0.79998168889431442"/>
        <bgColor rgb="FFDEEAF6"/>
      </patternFill>
    </fill>
    <fill>
      <patternFill patternType="solid">
        <fgColor theme="4" tint="0.79998168889431442"/>
        <bgColor rgb="FFFFFFFF"/>
      </patternFill>
    </fill>
    <fill>
      <patternFill patternType="solid">
        <fgColor theme="9" tint="0.59999389629810485"/>
        <bgColor indexed="64"/>
      </patternFill>
    </fill>
    <fill>
      <patternFill patternType="solid">
        <fgColor rgb="FFCCFFFF"/>
        <bgColor indexed="64"/>
      </patternFill>
    </fill>
    <fill>
      <patternFill patternType="solid">
        <fgColor rgb="FFD8B2CB"/>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rgb="FFCCCCFF"/>
        <bgColor indexed="64"/>
      </patternFill>
    </fill>
    <fill>
      <patternFill patternType="solid">
        <fgColor theme="4" tint="0.59999389629810485"/>
        <bgColor indexed="64"/>
      </patternFill>
    </fill>
    <fill>
      <patternFill patternType="solid">
        <fgColor rgb="FFFFFFFF"/>
        <bgColor rgb="FF000000"/>
      </patternFill>
    </fill>
    <fill>
      <patternFill patternType="solid">
        <fgColor theme="6"/>
        <bgColor indexed="64"/>
      </patternFill>
    </fill>
    <fill>
      <patternFill patternType="solid">
        <fgColor theme="2"/>
        <bgColor indexed="64"/>
      </patternFill>
    </fill>
    <fill>
      <patternFill patternType="solid">
        <fgColor rgb="FFFFFFFF"/>
        <bgColor indexed="64"/>
      </patternFill>
    </fill>
  </fills>
  <borders count="244">
    <border>
      <left/>
      <right/>
      <top/>
      <bottom/>
      <diagonal/>
    </border>
    <border>
      <left/>
      <right/>
      <top/>
      <bottom style="medium">
        <color rgb="FF000000"/>
      </bottom>
      <diagonal/>
    </border>
    <border>
      <left/>
      <right style="thin">
        <color rgb="FF000000"/>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style="thin">
        <color rgb="FF000000"/>
      </top>
      <bottom style="thin">
        <color rgb="FF000000"/>
      </bottom>
      <diagonal/>
    </border>
    <border>
      <left/>
      <right style="medium">
        <color rgb="FF000000"/>
      </right>
      <top style="medium">
        <color rgb="FF000000"/>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medium">
        <color rgb="FF5B9BD5"/>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style="thin">
        <color auto="1"/>
      </top>
      <bottom style="thin">
        <color indexed="64"/>
      </bottom>
      <diagonal/>
    </border>
    <border>
      <left style="medium">
        <color rgb="FF000000"/>
      </left>
      <right/>
      <top style="thin">
        <color rgb="FF000000"/>
      </top>
      <bottom style="thin">
        <color rgb="FF000000"/>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medium">
        <color indexed="64"/>
      </right>
      <top style="medium">
        <color indexed="64"/>
      </top>
      <bottom style="thin">
        <color auto="1"/>
      </bottom>
      <diagonal/>
    </border>
    <border>
      <left/>
      <right style="medium">
        <color indexed="64"/>
      </right>
      <top style="medium">
        <color indexed="64"/>
      </top>
      <bottom style="thin">
        <color auto="1"/>
      </bottom>
      <diagonal/>
    </border>
    <border>
      <left/>
      <right/>
      <top style="medium">
        <color indexed="64"/>
      </top>
      <bottom style="thin">
        <color auto="1"/>
      </bottom>
      <diagonal/>
    </border>
    <border>
      <left/>
      <right/>
      <top style="thin">
        <color auto="1"/>
      </top>
      <bottom style="thin">
        <color auto="1"/>
      </bottom>
      <diagonal/>
    </border>
    <border>
      <left/>
      <right/>
      <top/>
      <bottom style="thin">
        <color auto="1"/>
      </bottom>
      <diagonal/>
    </border>
    <border>
      <left style="thin">
        <color rgb="FF00B0F0"/>
      </left>
      <right style="thin">
        <color rgb="FF00B0F0"/>
      </right>
      <top style="thin">
        <color rgb="FF00B0F0"/>
      </top>
      <bottom style="thin">
        <color rgb="FF00B0F0"/>
      </bottom>
      <diagonal/>
    </border>
    <border>
      <left style="thin">
        <color auto="1"/>
      </left>
      <right style="thin">
        <color auto="1"/>
      </right>
      <top/>
      <bottom/>
      <diagonal/>
    </border>
    <border>
      <left/>
      <right style="thin">
        <color indexed="64"/>
      </right>
      <top style="thin">
        <color indexed="64"/>
      </top>
      <bottom/>
      <diagonal/>
    </border>
    <border>
      <left style="medium">
        <color indexed="55"/>
      </left>
      <right/>
      <top style="medium">
        <color indexed="55"/>
      </top>
      <bottom style="medium">
        <color indexed="55"/>
      </bottom>
      <diagonal/>
    </border>
    <border>
      <left/>
      <right/>
      <top style="medium">
        <color indexed="55"/>
      </top>
      <bottom style="medium">
        <color indexed="55"/>
      </bottom>
      <diagonal/>
    </border>
    <border>
      <left/>
      <right style="medium">
        <color indexed="17"/>
      </right>
      <top style="medium">
        <color indexed="55"/>
      </top>
      <bottom style="medium">
        <color indexed="55"/>
      </bottom>
      <diagonal/>
    </border>
    <border>
      <left/>
      <right style="thin">
        <color indexed="64"/>
      </right>
      <top/>
      <bottom style="thin">
        <color indexed="64"/>
      </bottom>
      <diagonal/>
    </border>
    <border>
      <left style="thin">
        <color auto="1"/>
      </left>
      <right/>
      <top style="thin">
        <color auto="1"/>
      </top>
      <bottom style="thin">
        <color auto="1"/>
      </bottom>
      <diagonal/>
    </border>
    <border>
      <left style="medium">
        <color indexed="17"/>
      </left>
      <right/>
      <top style="medium">
        <color indexed="55"/>
      </top>
      <bottom style="medium">
        <color indexed="55"/>
      </bottom>
      <diagonal/>
    </border>
    <border>
      <left style="medium">
        <color indexed="23"/>
      </left>
      <right style="medium">
        <color indexed="23"/>
      </right>
      <top style="medium">
        <color indexed="23"/>
      </top>
      <bottom/>
      <diagonal/>
    </border>
    <border>
      <left style="medium">
        <color indexed="23"/>
      </left>
      <right style="thin">
        <color indexed="64"/>
      </right>
      <top style="medium">
        <color indexed="23"/>
      </top>
      <bottom/>
      <diagonal/>
    </border>
    <border>
      <left/>
      <right style="medium">
        <color indexed="17"/>
      </right>
      <top/>
      <bottom/>
      <diagonal/>
    </border>
    <border>
      <left style="medium">
        <color indexed="17"/>
      </left>
      <right/>
      <top/>
      <bottom/>
      <diagonal/>
    </border>
    <border>
      <left style="thin">
        <color theme="0" tint="-0.499984740745262"/>
      </left>
      <right style="thin">
        <color indexed="17"/>
      </right>
      <top/>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right style="thin">
        <color theme="0" tint="-0.499984740745262"/>
      </right>
      <top style="thin">
        <color indexed="23"/>
      </top>
      <bottom style="thin">
        <color indexed="23"/>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style="medium">
        <color indexed="17"/>
      </right>
      <top/>
      <bottom style="thin">
        <color indexed="64"/>
      </bottom>
      <diagonal/>
    </border>
    <border>
      <left style="medium">
        <color indexed="17"/>
      </left>
      <right/>
      <top/>
      <bottom style="medium">
        <color indexed="23"/>
      </bottom>
      <diagonal/>
    </border>
    <border>
      <left/>
      <right/>
      <top/>
      <bottom style="medium">
        <color indexed="23"/>
      </bottom>
      <diagonal/>
    </border>
    <border>
      <left/>
      <right style="medium">
        <color indexed="17"/>
      </right>
      <top/>
      <bottom style="medium">
        <color indexed="23"/>
      </bottom>
      <diagonal/>
    </border>
    <border>
      <left style="thin">
        <color indexed="64"/>
      </left>
      <right/>
      <top style="thin">
        <color indexed="64"/>
      </top>
      <bottom/>
      <diagonal/>
    </border>
    <border>
      <left/>
      <right/>
      <top style="thin">
        <color indexed="64"/>
      </top>
      <bottom/>
      <diagonal/>
    </border>
    <border>
      <left/>
      <right style="medium">
        <color indexed="17"/>
      </right>
      <top style="thin">
        <color indexed="64"/>
      </top>
      <bottom/>
      <diagonal/>
    </border>
    <border>
      <left style="medium">
        <color indexed="17"/>
      </left>
      <right/>
      <top style="dashDot">
        <color indexed="23"/>
      </top>
      <bottom/>
      <diagonal/>
    </border>
    <border>
      <left/>
      <right/>
      <top style="dashDot">
        <color indexed="23"/>
      </top>
      <bottom/>
      <diagonal/>
    </border>
    <border>
      <left/>
      <right style="medium">
        <color indexed="17"/>
      </right>
      <top style="dashDot">
        <color indexed="23"/>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right style="thin">
        <color theme="0" tint="-0.499984740745262"/>
      </right>
      <top style="thin">
        <color indexed="23"/>
      </top>
      <bottom style="thin">
        <color indexed="23"/>
      </bottom>
      <diagonal/>
    </border>
    <border>
      <left style="thin">
        <color indexed="23"/>
      </left>
      <right style="thin">
        <color indexed="23"/>
      </right>
      <top style="thin">
        <color indexed="23"/>
      </top>
      <bottom style="thin">
        <color indexed="23"/>
      </bottom>
      <diagonal/>
    </border>
    <border>
      <left style="thin">
        <color indexed="64"/>
      </left>
      <right/>
      <top style="thin">
        <color indexed="64"/>
      </top>
      <bottom/>
      <diagonal/>
    </border>
    <border>
      <left/>
      <right/>
      <top style="thin">
        <color indexed="64"/>
      </top>
      <bottom/>
      <diagonal/>
    </border>
    <border>
      <left/>
      <right style="medium">
        <color indexed="17"/>
      </right>
      <top style="thin">
        <color indexed="64"/>
      </top>
      <bottom/>
      <diagonal/>
    </border>
    <border>
      <left style="medium">
        <color indexed="17"/>
      </left>
      <right/>
      <top style="medium">
        <color theme="0" tint="-0.499984740745262"/>
      </top>
      <bottom/>
      <diagonal/>
    </border>
    <border>
      <left/>
      <right/>
      <top style="medium">
        <color theme="0" tint="-0.499984740745262"/>
      </top>
      <bottom/>
      <diagonal/>
    </border>
    <border>
      <left/>
      <right style="medium">
        <color indexed="17"/>
      </right>
      <top style="medium">
        <color theme="0" tint="-0.499984740745262"/>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right style="thin">
        <color theme="0" tint="-0.499984740745262"/>
      </right>
      <top style="thin">
        <color indexed="23"/>
      </top>
      <bottom style="thin">
        <color indexed="23"/>
      </bottom>
      <diagonal/>
    </border>
    <border>
      <left style="thin">
        <color indexed="23"/>
      </left>
      <right style="thin">
        <color indexed="23"/>
      </right>
      <top style="thin">
        <color indexed="23"/>
      </top>
      <bottom style="thin">
        <color indexed="23"/>
      </bottom>
      <diagonal/>
    </border>
    <border>
      <left style="medium">
        <color indexed="17"/>
      </left>
      <right/>
      <top/>
      <bottom style="thin">
        <color indexed="17"/>
      </bottom>
      <diagonal/>
    </border>
    <border>
      <left/>
      <right/>
      <top/>
      <bottom style="thin">
        <color indexed="17"/>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medium">
        <color indexed="17"/>
      </right>
      <top style="thin">
        <color indexed="64"/>
      </top>
      <bottom/>
      <diagonal/>
    </border>
    <border>
      <left style="medium">
        <color indexed="17"/>
      </left>
      <right/>
      <top style="thin">
        <color indexed="17"/>
      </top>
      <bottom/>
      <diagonal/>
    </border>
    <border>
      <left/>
      <right/>
      <top style="thin">
        <color indexed="17"/>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medium">
        <color indexed="23"/>
      </top>
      <bottom/>
      <diagonal/>
    </border>
    <border>
      <left style="medium">
        <color indexed="17"/>
      </left>
      <right/>
      <top style="thin">
        <color indexed="17"/>
      </top>
      <bottom/>
      <diagonal/>
    </border>
    <border>
      <left/>
      <right/>
      <top style="thin">
        <color indexed="17"/>
      </top>
      <bottom/>
      <diagonal/>
    </border>
    <border>
      <left style="medium">
        <color indexed="17"/>
      </left>
      <right/>
      <top style="dotted">
        <color indexed="23"/>
      </top>
      <bottom/>
      <diagonal/>
    </border>
    <border>
      <left/>
      <right/>
      <top style="dotted">
        <color indexed="23"/>
      </top>
      <bottom/>
      <diagonal/>
    </border>
    <border>
      <left/>
      <right style="medium">
        <color indexed="17"/>
      </right>
      <top style="dotted">
        <color indexed="23"/>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theme="8" tint="-0.24994659260841701"/>
      </left>
      <right/>
      <top style="medium">
        <color theme="8" tint="-0.24994659260841701"/>
      </top>
      <bottom style="thin">
        <color indexed="64"/>
      </bottom>
      <diagonal/>
    </border>
    <border>
      <left/>
      <right/>
      <top style="medium">
        <color theme="8" tint="-0.24994659260841701"/>
      </top>
      <bottom style="thin">
        <color indexed="64"/>
      </bottom>
      <diagonal/>
    </border>
    <border>
      <left/>
      <right style="medium">
        <color theme="8" tint="-0.24994659260841701"/>
      </right>
      <top style="medium">
        <color theme="8" tint="-0.24994659260841701"/>
      </top>
      <bottom style="thin">
        <color indexed="64"/>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style="medium">
        <color theme="8" tint="-0.24994659260841701"/>
      </left>
      <right style="thin">
        <color indexed="64"/>
      </right>
      <top style="thin">
        <color indexed="64"/>
      </top>
      <bottom style="medium">
        <color theme="8" tint="-0.24994659260841701"/>
      </bottom>
      <diagonal/>
    </border>
    <border>
      <left style="thin">
        <color indexed="64"/>
      </left>
      <right style="thin">
        <color indexed="64"/>
      </right>
      <top style="thin">
        <color indexed="64"/>
      </top>
      <bottom style="medium">
        <color theme="8" tint="-0.24994659260841701"/>
      </bottom>
      <diagonal/>
    </border>
    <border>
      <left style="thin">
        <color indexed="64"/>
      </left>
      <right style="medium">
        <color theme="8" tint="-0.24994659260841701"/>
      </right>
      <top style="thin">
        <color indexed="64"/>
      </top>
      <bottom style="medium">
        <color theme="8" tint="-0.24994659260841701"/>
      </bottom>
      <diagonal/>
    </border>
    <border>
      <left style="thin">
        <color indexed="23"/>
      </left>
      <right style="thin">
        <color indexed="23"/>
      </right>
      <top style="thin">
        <color indexed="23"/>
      </top>
      <bottom style="thin">
        <color indexed="23"/>
      </bottom>
      <diagonal/>
    </border>
    <border>
      <left style="thin">
        <color indexed="64"/>
      </left>
      <right/>
      <top style="thin">
        <color indexed="64"/>
      </top>
      <bottom/>
      <diagonal/>
    </border>
    <border>
      <left/>
      <right style="medium">
        <color indexed="17"/>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style="thin">
        <color indexed="23"/>
      </left>
      <right style="thin">
        <color indexed="23"/>
      </right>
      <top style="thin">
        <color indexed="23"/>
      </top>
      <bottom style="thin">
        <color indexed="23"/>
      </bottom>
      <diagonal/>
    </border>
    <border>
      <left style="thin">
        <color indexed="64"/>
      </left>
      <right/>
      <top style="thin">
        <color indexed="64"/>
      </top>
      <bottom/>
      <diagonal/>
    </border>
    <border>
      <left/>
      <right/>
      <top style="thin">
        <color indexed="64"/>
      </top>
      <bottom/>
      <diagonal/>
    </border>
    <border>
      <left/>
      <right style="medium">
        <color indexed="17"/>
      </right>
      <top style="thin">
        <color indexed="64"/>
      </top>
      <bottom/>
      <diagonal/>
    </border>
    <border>
      <left style="medium">
        <color indexed="17"/>
      </left>
      <right/>
      <top style="thin">
        <color indexed="17"/>
      </top>
      <bottom/>
      <diagonal/>
    </border>
    <border>
      <left/>
      <right/>
      <top style="thin">
        <color indexed="17"/>
      </top>
      <bottom/>
      <diagonal/>
    </border>
    <border>
      <left style="medium">
        <color indexed="17"/>
      </left>
      <right/>
      <top/>
      <bottom style="medium">
        <color indexed="55"/>
      </bottom>
      <diagonal/>
    </border>
    <border>
      <left/>
      <right/>
      <top/>
      <bottom style="medium">
        <color indexed="55"/>
      </bottom>
      <diagonal/>
    </border>
    <border>
      <left/>
      <right style="medium">
        <color indexed="17"/>
      </right>
      <top/>
      <bottom style="medium">
        <color indexed="55"/>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style="thin">
        <color indexed="23"/>
      </left>
      <right style="thin">
        <color indexed="23"/>
      </right>
      <top style="thin">
        <color indexed="23"/>
      </top>
      <bottom style="thin">
        <color indexed="23"/>
      </bottom>
      <diagonal/>
    </border>
    <border>
      <left style="thin">
        <color indexed="64"/>
      </left>
      <right/>
      <top style="thin">
        <color indexed="64"/>
      </top>
      <bottom/>
      <diagonal/>
    </border>
    <border>
      <left/>
      <right/>
      <top style="thin">
        <color indexed="64"/>
      </top>
      <bottom/>
      <diagonal/>
    </border>
    <border>
      <left/>
      <right style="medium">
        <color indexed="17"/>
      </right>
      <top style="thin">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style="thin">
        <color indexed="23"/>
      </left>
      <right style="thin">
        <color indexed="23"/>
      </right>
      <top style="thin">
        <color indexed="23"/>
      </top>
      <bottom style="thin">
        <color indexed="23"/>
      </bottom>
      <diagonal/>
    </border>
    <border>
      <left style="thin">
        <color indexed="64"/>
      </left>
      <right/>
      <top style="thin">
        <color indexed="64"/>
      </top>
      <bottom/>
      <diagonal/>
    </border>
    <border>
      <left/>
      <right/>
      <top style="thin">
        <color indexed="64"/>
      </top>
      <bottom/>
      <diagonal/>
    </border>
    <border>
      <left/>
      <right style="medium">
        <color indexed="17"/>
      </right>
      <top style="thin">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17"/>
      </right>
      <top style="thin">
        <color indexed="64"/>
      </top>
      <bottom/>
      <diagonal/>
    </border>
    <border>
      <left/>
      <right style="thin">
        <color indexed="64"/>
      </right>
      <top style="thin">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style="thin">
        <color indexed="23"/>
      </left>
      <right style="thin">
        <color indexed="23"/>
      </right>
      <top style="thin">
        <color indexed="23"/>
      </top>
      <bottom style="thin">
        <color indexed="23"/>
      </bottom>
      <diagonal/>
    </border>
    <border>
      <left style="medium">
        <color indexed="17"/>
      </left>
      <right/>
      <top style="thin">
        <color indexed="64"/>
      </top>
      <bottom/>
      <diagonal/>
    </border>
    <border>
      <left style="medium">
        <color theme="3" tint="0.39997558519241921"/>
      </left>
      <right/>
      <top style="medium">
        <color theme="3" tint="0.39997558519241921"/>
      </top>
      <bottom style="thin">
        <color indexed="64"/>
      </bottom>
      <diagonal/>
    </border>
    <border>
      <left/>
      <right/>
      <top style="medium">
        <color theme="3" tint="0.39997558519241921"/>
      </top>
      <bottom style="thin">
        <color indexed="64"/>
      </bottom>
      <diagonal/>
    </border>
    <border>
      <left/>
      <right style="medium">
        <color theme="3" tint="0.39997558519241921"/>
      </right>
      <top style="medium">
        <color theme="3" tint="0.39997558519241921"/>
      </top>
      <bottom style="thin">
        <color indexed="64"/>
      </bottom>
      <diagonal/>
    </border>
    <border>
      <left style="medium">
        <color theme="3" tint="0.39997558519241921"/>
      </left>
      <right style="thin">
        <color indexed="64"/>
      </right>
      <top style="thin">
        <color indexed="64"/>
      </top>
      <bottom style="medium">
        <color theme="3" tint="0.39997558519241921"/>
      </bottom>
      <diagonal/>
    </border>
    <border>
      <left style="thin">
        <color indexed="64"/>
      </left>
      <right style="thin">
        <color indexed="64"/>
      </right>
      <top style="thin">
        <color indexed="64"/>
      </top>
      <bottom style="medium">
        <color theme="3" tint="0.39997558519241921"/>
      </bottom>
      <diagonal/>
    </border>
    <border>
      <left style="thin">
        <color indexed="64"/>
      </left>
      <right style="medium">
        <color theme="3" tint="0.39997558519241921"/>
      </right>
      <top style="thin">
        <color indexed="64"/>
      </top>
      <bottom style="medium">
        <color theme="3" tint="0.39997558519241921"/>
      </bottom>
      <diagonal/>
    </border>
    <border>
      <left style="medium">
        <color indexed="17"/>
      </left>
      <right/>
      <top/>
      <bottom style="thin">
        <color indexed="17"/>
      </bottom>
      <diagonal/>
    </border>
    <border>
      <left/>
      <right/>
      <top/>
      <bottom style="thin">
        <color indexed="17"/>
      </bottom>
      <diagonal/>
    </border>
    <border>
      <left style="thin">
        <color theme="0" tint="-0.499984740745262"/>
      </left>
      <right style="thin">
        <color indexed="17"/>
      </right>
      <top/>
      <bottom style="thin">
        <color indexed="17"/>
      </bottom>
      <diagonal/>
    </border>
    <border>
      <left/>
      <right/>
      <top/>
      <bottom style="thin">
        <color indexed="64"/>
      </bottom>
      <diagonal/>
    </border>
    <border>
      <left style="thin">
        <color rgb="FF000000"/>
      </left>
      <right/>
      <top/>
      <bottom style="medium">
        <color rgb="FF000000"/>
      </bottom>
      <diagonal/>
    </border>
    <border>
      <left/>
      <right style="thin">
        <color rgb="FF000000"/>
      </right>
      <top/>
      <bottom style="medium">
        <color rgb="FF000000"/>
      </bottom>
      <diagonal/>
    </border>
    <border>
      <left style="medium">
        <color indexed="64"/>
      </left>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medium">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medium">
        <color indexed="64"/>
      </right>
      <top style="thin">
        <color rgb="FF000000"/>
      </top>
      <bottom style="thin">
        <color rgb="FF000000"/>
      </bottom>
      <diagonal/>
    </border>
    <border>
      <left style="medium">
        <color rgb="FF000000"/>
      </left>
      <right style="medium">
        <color rgb="FF9CC2E5"/>
      </right>
      <top style="medium">
        <color rgb="FF000000"/>
      </top>
      <bottom/>
      <diagonal/>
    </border>
    <border>
      <left/>
      <right style="medium">
        <color rgb="FF9CC2E5"/>
      </right>
      <top style="medium">
        <color rgb="FF000000"/>
      </top>
      <bottom/>
      <diagonal/>
    </border>
    <border>
      <left style="medium">
        <color rgb="FF9CC2E5"/>
      </left>
      <right style="medium">
        <color rgb="FF9CC2E5"/>
      </right>
      <top style="medium">
        <color indexed="64"/>
      </top>
      <bottom/>
      <diagonal/>
    </border>
    <border>
      <left/>
      <right style="medium">
        <color rgb="FF9CC2E5"/>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medium">
        <color indexed="64"/>
      </left>
      <right style="medium">
        <color indexed="64"/>
      </right>
      <top style="thin">
        <color rgb="FF000000"/>
      </top>
      <bottom/>
      <diagonal/>
    </border>
    <border>
      <left style="medium">
        <color rgb="FF000000"/>
      </left>
      <right style="thin">
        <color rgb="FF000000"/>
      </right>
      <top/>
      <bottom/>
      <diagonal/>
    </border>
    <border>
      <left style="medium">
        <color indexed="64"/>
      </left>
      <right style="medium">
        <color indexed="64"/>
      </right>
      <top/>
      <bottom style="thin">
        <color rgb="FF000000"/>
      </bottom>
      <diagonal/>
    </border>
    <border>
      <left/>
      <right/>
      <top style="medium">
        <color indexed="64"/>
      </top>
      <bottom style="thin">
        <color rgb="FF000000"/>
      </bottom>
      <diagonal/>
    </border>
    <border>
      <left/>
      <right/>
      <top style="thin">
        <color rgb="FF000000"/>
      </top>
      <bottom style="medium">
        <color indexed="64"/>
      </bottom>
      <diagonal/>
    </border>
    <border>
      <left/>
      <right style="thin">
        <color rgb="FF000000"/>
      </right>
      <top style="medium">
        <color indexed="64"/>
      </top>
      <bottom style="thin">
        <color rgb="FF000000"/>
      </bottom>
      <diagonal/>
    </border>
    <border>
      <left/>
      <right style="thin">
        <color rgb="FF000000"/>
      </right>
      <top style="thin">
        <color rgb="FF000000"/>
      </top>
      <bottom style="medium">
        <color indexed="64"/>
      </bottom>
      <diagonal/>
    </border>
    <border>
      <left/>
      <right style="medium">
        <color indexed="64"/>
      </right>
      <top style="thin">
        <color auto="1"/>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rgb="FF000000"/>
      </left>
      <right style="medium">
        <color indexed="64"/>
      </right>
      <top style="thin">
        <color rgb="FF000000"/>
      </top>
      <bottom/>
      <diagonal/>
    </border>
    <border>
      <left style="thin">
        <color rgb="FF000000"/>
      </left>
      <right style="medium">
        <color indexed="64"/>
      </right>
      <top/>
      <bottom style="thin">
        <color rgb="FF000000"/>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rgb="FF000000"/>
      </bottom>
      <diagonal/>
    </border>
    <border>
      <left/>
      <right style="medium">
        <color indexed="64"/>
      </right>
      <top style="thin">
        <color rgb="FF000000"/>
      </top>
      <bottom style="thin">
        <color rgb="FF000000"/>
      </bottom>
      <diagonal/>
    </border>
    <border>
      <left/>
      <right style="medium">
        <color indexed="64"/>
      </right>
      <top style="thin">
        <color rgb="FF000000"/>
      </top>
      <bottom style="medium">
        <color indexed="64"/>
      </bottom>
      <diagonal/>
    </border>
    <border>
      <left style="thin">
        <color indexed="64"/>
      </left>
      <right style="thin">
        <color indexed="64"/>
      </right>
      <top style="thin">
        <color indexed="64"/>
      </top>
      <bottom/>
      <diagonal/>
    </border>
    <border>
      <left/>
      <right style="thin">
        <color rgb="FF000000"/>
      </right>
      <top/>
      <bottom style="thin">
        <color rgb="FF000000"/>
      </bottom>
      <diagonal/>
    </border>
    <border>
      <left style="thin">
        <color rgb="FF00B0F0"/>
      </left>
      <right style="thin">
        <color rgb="FF00B0F0"/>
      </right>
      <top style="thin">
        <color rgb="FF00B0F0"/>
      </top>
      <bottom/>
      <diagonal/>
    </border>
    <border>
      <left style="thin">
        <color rgb="FF00B0F0"/>
      </left>
      <right style="thin">
        <color rgb="FF00B0F0"/>
      </right>
      <top/>
      <bottom/>
      <diagonal/>
    </border>
    <border>
      <left style="thin">
        <color rgb="FF00B0F0"/>
      </left>
      <right style="thin">
        <color rgb="FF00B0F0"/>
      </right>
      <top/>
      <bottom style="thin">
        <color rgb="FF00B0F0"/>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thin">
        <color rgb="FF000000"/>
      </left>
      <right style="thin">
        <color indexed="64"/>
      </right>
      <top style="thin">
        <color indexed="64"/>
      </top>
      <bottom/>
      <diagonal/>
    </border>
  </borders>
  <cellStyleXfs count="4">
    <xf numFmtId="0" fontId="0" fillId="0" borderId="0"/>
    <xf numFmtId="0" fontId="37" fillId="0" borderId="24"/>
    <xf numFmtId="9" fontId="51" fillId="0" borderId="0" applyFont="0" applyFill="0" applyBorder="0" applyAlignment="0" applyProtection="0"/>
    <xf numFmtId="0" fontId="53" fillId="0" borderId="24"/>
  </cellStyleXfs>
  <cellXfs count="1100">
    <xf numFmtId="0" fontId="0" fillId="0" borderId="0" xfId="0"/>
    <xf numFmtId="0" fontId="9" fillId="0" borderId="0" xfId="0" applyFont="1"/>
    <xf numFmtId="0" fontId="13" fillId="0" borderId="0" xfId="0" applyFont="1"/>
    <xf numFmtId="0" fontId="0" fillId="0" borderId="24" xfId="0" applyBorder="1"/>
    <xf numFmtId="0" fontId="0" fillId="0" borderId="0" xfId="0" applyAlignment="1">
      <alignment wrapText="1"/>
    </xf>
    <xf numFmtId="0" fontId="0" fillId="0" borderId="0" xfId="0" applyAlignment="1">
      <alignment horizontal="left" wrapText="1"/>
    </xf>
    <xf numFmtId="0" fontId="0" fillId="0" borderId="0" xfId="0" applyAlignment="1">
      <alignment horizontal="left"/>
    </xf>
    <xf numFmtId="0" fontId="7" fillId="0" borderId="0" xfId="0" applyFont="1"/>
    <xf numFmtId="0" fontId="0" fillId="8" borderId="0" xfId="0" applyFill="1"/>
    <xf numFmtId="0" fontId="7" fillId="0" borderId="24" xfId="0" applyFont="1" applyBorder="1"/>
    <xf numFmtId="0" fontId="7" fillId="0" borderId="24" xfId="0" applyFont="1" applyBorder="1" applyAlignment="1">
      <alignment vertical="center"/>
    </xf>
    <xf numFmtId="0" fontId="18" fillId="0" borderId="24" xfId="0" applyFont="1" applyBorder="1"/>
    <xf numFmtId="0" fontId="13" fillId="0" borderId="24" xfId="0" applyFont="1" applyBorder="1"/>
    <xf numFmtId="0" fontId="0" fillId="7" borderId="0" xfId="0" applyFill="1"/>
    <xf numFmtId="0" fontId="13" fillId="0" borderId="0" xfId="0" applyFont="1" applyAlignment="1">
      <alignment horizontal="center"/>
    </xf>
    <xf numFmtId="0" fontId="7" fillId="0" borderId="24" xfId="0" applyFont="1" applyBorder="1" applyAlignment="1">
      <alignment horizontal="center"/>
    </xf>
    <xf numFmtId="0" fontId="0" fillId="0" borderId="0" xfId="0" applyAlignment="1">
      <alignment horizontal="center"/>
    </xf>
    <xf numFmtId="0" fontId="13" fillId="0" borderId="0" xfId="0" applyFont="1" applyAlignment="1">
      <alignment vertical="top"/>
    </xf>
    <xf numFmtId="0" fontId="7" fillId="0" borderId="0" xfId="0" applyFont="1" applyAlignment="1">
      <alignment vertical="top"/>
    </xf>
    <xf numFmtId="0" fontId="7" fillId="0" borderId="9" xfId="0" applyFont="1" applyBorder="1" applyAlignment="1">
      <alignment horizontal="left" vertical="top"/>
    </xf>
    <xf numFmtId="0" fontId="0" fillId="0" borderId="0" xfId="0" applyAlignment="1">
      <alignment vertical="top"/>
    </xf>
    <xf numFmtId="0" fontId="33" fillId="5" borderId="30" xfId="0" applyFont="1" applyFill="1" applyBorder="1" applyAlignment="1">
      <alignment horizontal="center" vertical="center"/>
    </xf>
    <xf numFmtId="0" fontId="33" fillId="5" borderId="31" xfId="0" applyFont="1" applyFill="1" applyBorder="1" applyAlignment="1">
      <alignment horizontal="center" vertical="center"/>
    </xf>
    <xf numFmtId="0" fontId="33" fillId="5" borderId="32" xfId="0" applyFont="1" applyFill="1" applyBorder="1" applyAlignment="1">
      <alignment horizontal="center" vertical="center"/>
    </xf>
    <xf numFmtId="0" fontId="33" fillId="5" borderId="34" xfId="0" applyFont="1" applyFill="1" applyBorder="1" applyAlignment="1">
      <alignment horizontal="center" vertical="center"/>
    </xf>
    <xf numFmtId="0" fontId="33" fillId="5" borderId="35" xfId="0" applyFont="1" applyFill="1" applyBorder="1" applyAlignment="1">
      <alignment horizontal="center" vertical="center"/>
    </xf>
    <xf numFmtId="0" fontId="33" fillId="5" borderId="36" xfId="0" applyFont="1" applyFill="1" applyBorder="1" applyAlignment="1">
      <alignment horizontal="center" vertical="center"/>
    </xf>
    <xf numFmtId="0" fontId="33" fillId="5" borderId="37" xfId="0" applyFont="1" applyFill="1" applyBorder="1" applyAlignment="1">
      <alignment horizontal="center" vertical="center"/>
    </xf>
    <xf numFmtId="0" fontId="33" fillId="5" borderId="38" xfId="0" applyFont="1" applyFill="1" applyBorder="1" applyAlignment="1">
      <alignment horizontal="center" vertical="center"/>
    </xf>
    <xf numFmtId="0" fontId="33" fillId="5" borderId="39" xfId="0" applyFont="1" applyFill="1" applyBorder="1" applyAlignment="1">
      <alignment horizontal="center" vertical="center"/>
    </xf>
    <xf numFmtId="0" fontId="5" fillId="2" borderId="28"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17" fillId="6" borderId="18" xfId="0" applyFont="1" applyFill="1" applyBorder="1" applyAlignment="1">
      <alignment horizontal="center" vertical="center" wrapText="1"/>
    </xf>
    <xf numFmtId="0" fontId="17" fillId="6" borderId="20" xfId="0" applyFont="1" applyFill="1" applyBorder="1" applyAlignment="1">
      <alignment horizontal="center" vertical="center" wrapText="1"/>
    </xf>
    <xf numFmtId="0" fontId="22" fillId="6" borderId="18" xfId="0" applyFont="1" applyFill="1" applyBorder="1" applyAlignment="1">
      <alignment horizontal="center" vertical="center"/>
    </xf>
    <xf numFmtId="0" fontId="0" fillId="7" borderId="24" xfId="0" applyFill="1" applyBorder="1"/>
    <xf numFmtId="0" fontId="5" fillId="7" borderId="28"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4" xfId="0" applyFont="1" applyFill="1" applyBorder="1" applyAlignment="1">
      <alignment horizontal="center" vertical="center" wrapText="1"/>
    </xf>
    <xf numFmtId="0" fontId="5" fillId="7" borderId="28" xfId="0" applyFont="1" applyFill="1" applyBorder="1" applyAlignment="1">
      <alignment horizontal="center" vertical="center"/>
    </xf>
    <xf numFmtId="0" fontId="5" fillId="7" borderId="9" xfId="0" applyFont="1" applyFill="1" applyBorder="1" applyAlignment="1">
      <alignment horizontal="center" vertical="center"/>
    </xf>
    <xf numFmtId="0" fontId="5" fillId="7" borderId="14" xfId="0" applyFont="1" applyFill="1" applyBorder="1" applyAlignment="1">
      <alignment horizontal="center" vertical="center"/>
    </xf>
    <xf numFmtId="0" fontId="34" fillId="7" borderId="28" xfId="0" applyFont="1" applyFill="1" applyBorder="1" applyAlignment="1">
      <alignment horizontal="center" vertical="center"/>
    </xf>
    <xf numFmtId="0" fontId="34" fillId="7" borderId="9" xfId="0" applyFont="1" applyFill="1" applyBorder="1" applyAlignment="1">
      <alignment horizontal="center" vertical="center"/>
    </xf>
    <xf numFmtId="0" fontId="34" fillId="7" borderId="14" xfId="0" applyFont="1" applyFill="1" applyBorder="1" applyAlignment="1">
      <alignment horizontal="center" vertical="center"/>
    </xf>
    <xf numFmtId="0" fontId="5" fillId="7" borderId="15" xfId="0" applyFont="1" applyFill="1" applyBorder="1" applyAlignment="1">
      <alignment horizontal="center" vertical="center" wrapText="1"/>
    </xf>
    <xf numFmtId="0" fontId="14" fillId="7" borderId="9" xfId="0" applyFont="1" applyFill="1" applyBorder="1" applyAlignment="1">
      <alignment horizontal="center" vertical="center" wrapText="1"/>
    </xf>
    <xf numFmtId="0" fontId="14" fillId="7" borderId="14" xfId="0" applyFont="1" applyFill="1" applyBorder="1" applyAlignment="1">
      <alignment horizontal="center" vertical="center" wrapText="1"/>
    </xf>
    <xf numFmtId="0" fontId="14" fillId="7" borderId="28" xfId="0" applyFont="1" applyFill="1" applyBorder="1" applyAlignment="1">
      <alignment horizontal="center" vertical="center" wrapText="1"/>
    </xf>
    <xf numFmtId="0" fontId="14" fillId="7" borderId="28" xfId="0" applyFont="1" applyFill="1" applyBorder="1" applyAlignment="1">
      <alignment horizontal="center" vertical="center"/>
    </xf>
    <xf numFmtId="0" fontId="14" fillId="7" borderId="9" xfId="0" applyFont="1" applyFill="1" applyBorder="1" applyAlignment="1">
      <alignment horizontal="center" vertical="center"/>
    </xf>
    <xf numFmtId="0" fontId="14" fillId="7" borderId="14" xfId="0" applyFont="1" applyFill="1" applyBorder="1" applyAlignment="1">
      <alignment horizontal="center" vertical="center"/>
    </xf>
    <xf numFmtId="0" fontId="5" fillId="10" borderId="28" xfId="0" applyFont="1" applyFill="1" applyBorder="1" applyAlignment="1">
      <alignment horizontal="center" vertical="center" wrapText="1"/>
    </xf>
    <xf numFmtId="0" fontId="5" fillId="10" borderId="9" xfId="0" applyFont="1" applyFill="1" applyBorder="1" applyAlignment="1">
      <alignment horizontal="center" vertical="center" wrapText="1"/>
    </xf>
    <xf numFmtId="0" fontId="5" fillId="10" borderId="14" xfId="0" applyFont="1" applyFill="1" applyBorder="1" applyAlignment="1">
      <alignment horizontal="center" vertical="center" wrapText="1"/>
    </xf>
    <xf numFmtId="0" fontId="5" fillId="10" borderId="28" xfId="0" applyFont="1" applyFill="1" applyBorder="1" applyAlignment="1">
      <alignment horizontal="center" vertical="center"/>
    </xf>
    <xf numFmtId="0" fontId="5" fillId="10" borderId="9" xfId="0" applyFont="1" applyFill="1" applyBorder="1" applyAlignment="1">
      <alignment horizontal="center" vertical="center"/>
    </xf>
    <xf numFmtId="0" fontId="5" fillId="10" borderId="14" xfId="0" applyFont="1" applyFill="1" applyBorder="1" applyAlignment="1">
      <alignment horizontal="center" vertical="center"/>
    </xf>
    <xf numFmtId="0" fontId="34" fillId="10" borderId="28" xfId="0" applyFont="1" applyFill="1" applyBorder="1" applyAlignment="1">
      <alignment horizontal="center" vertical="center"/>
    </xf>
    <xf numFmtId="0" fontId="34" fillId="10" borderId="9" xfId="0" applyFont="1" applyFill="1" applyBorder="1" applyAlignment="1">
      <alignment horizontal="center" vertical="center"/>
    </xf>
    <xf numFmtId="0" fontId="34" fillId="10" borderId="14" xfId="0" applyFont="1" applyFill="1" applyBorder="1" applyAlignment="1">
      <alignment horizontal="center" vertical="center"/>
    </xf>
    <xf numFmtId="0" fontId="5" fillId="11" borderId="28" xfId="0" applyFont="1" applyFill="1" applyBorder="1" applyAlignment="1">
      <alignment horizontal="center" vertical="center" wrapText="1"/>
    </xf>
    <xf numFmtId="0" fontId="5" fillId="11" borderId="9" xfId="0" applyFont="1" applyFill="1" applyBorder="1" applyAlignment="1">
      <alignment horizontal="center" vertical="center" wrapText="1"/>
    </xf>
    <xf numFmtId="0" fontId="5" fillId="11" borderId="14" xfId="0" applyFont="1" applyFill="1" applyBorder="1" applyAlignment="1">
      <alignment horizontal="center" vertical="center" wrapText="1"/>
    </xf>
    <xf numFmtId="0" fontId="5" fillId="11" borderId="15" xfId="0" applyFont="1" applyFill="1" applyBorder="1" applyAlignment="1">
      <alignment horizontal="center" vertical="center" wrapText="1"/>
    </xf>
    <xf numFmtId="0" fontId="18" fillId="7" borderId="24" xfId="0" applyFont="1" applyFill="1" applyBorder="1"/>
    <xf numFmtId="0" fontId="14" fillId="11" borderId="15" xfId="0" applyFont="1" applyFill="1" applyBorder="1" applyAlignment="1">
      <alignment horizontal="center" vertical="center" wrapText="1"/>
    </xf>
    <xf numFmtId="0" fontId="14" fillId="11" borderId="9" xfId="0" applyFont="1" applyFill="1" applyBorder="1" applyAlignment="1">
      <alignment horizontal="center" vertical="center" wrapText="1"/>
    </xf>
    <xf numFmtId="0" fontId="14" fillId="11" borderId="14" xfId="0" applyFont="1" applyFill="1" applyBorder="1" applyAlignment="1">
      <alignment horizontal="center" vertical="center" wrapText="1"/>
    </xf>
    <xf numFmtId="0" fontId="14" fillId="11" borderId="28" xfId="0" applyFont="1" applyFill="1" applyBorder="1" applyAlignment="1">
      <alignment horizontal="center" vertical="center" wrapText="1"/>
    </xf>
    <xf numFmtId="0" fontId="14" fillId="10" borderId="28" xfId="0" applyFont="1" applyFill="1" applyBorder="1" applyAlignment="1">
      <alignment horizontal="center" vertical="center"/>
    </xf>
    <xf numFmtId="0" fontId="14" fillId="10" borderId="9" xfId="0" applyFont="1" applyFill="1" applyBorder="1" applyAlignment="1">
      <alignment horizontal="center" vertical="center"/>
    </xf>
    <xf numFmtId="0" fontId="14" fillId="10" borderId="14" xfId="0" applyFont="1" applyFill="1" applyBorder="1" applyAlignment="1">
      <alignment horizontal="center" vertical="center"/>
    </xf>
    <xf numFmtId="0" fontId="37" fillId="0" borderId="24" xfId="1"/>
    <xf numFmtId="0" fontId="37" fillId="0" borderId="24" xfId="1" applyAlignment="1">
      <alignment vertical="center"/>
    </xf>
    <xf numFmtId="0" fontId="5" fillId="13" borderId="9" xfId="0" applyFont="1" applyFill="1" applyBorder="1" applyAlignment="1">
      <alignment horizontal="center" vertical="center" wrapText="1"/>
    </xf>
    <xf numFmtId="0" fontId="5" fillId="14" borderId="9" xfId="0" applyFont="1" applyFill="1" applyBorder="1" applyAlignment="1">
      <alignment horizontal="center" vertical="center"/>
    </xf>
    <xf numFmtId="0" fontId="5" fillId="14" borderId="14" xfId="0" applyFont="1" applyFill="1" applyBorder="1" applyAlignment="1">
      <alignment horizontal="center" vertical="center"/>
    </xf>
    <xf numFmtId="0" fontId="34" fillId="8" borderId="9" xfId="0" applyFont="1" applyFill="1" applyBorder="1" applyAlignment="1">
      <alignment horizontal="center" vertical="center"/>
    </xf>
    <xf numFmtId="0" fontId="34" fillId="8" borderId="28" xfId="0" applyFont="1" applyFill="1" applyBorder="1" applyAlignment="1">
      <alignment horizontal="center" vertical="center"/>
    </xf>
    <xf numFmtId="0" fontId="34" fillId="16" borderId="9" xfId="0" applyFont="1" applyFill="1" applyBorder="1" applyAlignment="1">
      <alignment horizontal="center" vertical="center"/>
    </xf>
    <xf numFmtId="0" fontId="34" fillId="16" borderId="28" xfId="0" applyFont="1" applyFill="1" applyBorder="1" applyAlignment="1">
      <alignment horizontal="center" vertical="center"/>
    </xf>
    <xf numFmtId="0" fontId="44" fillId="4" borderId="25" xfId="0" applyFont="1" applyFill="1" applyBorder="1" applyAlignment="1">
      <alignment horizontal="center" vertical="center" wrapText="1"/>
    </xf>
    <xf numFmtId="0" fontId="5" fillId="24" borderId="9" xfId="0" applyFont="1" applyFill="1" applyBorder="1" applyAlignment="1">
      <alignment horizontal="center" vertical="center" wrapText="1"/>
    </xf>
    <xf numFmtId="0" fontId="14" fillId="24" borderId="9" xfId="0" applyFont="1" applyFill="1" applyBorder="1" applyAlignment="1">
      <alignment horizontal="center" vertical="center" wrapText="1"/>
    </xf>
    <xf numFmtId="0" fontId="5" fillId="23" borderId="9" xfId="0" applyFont="1" applyFill="1" applyBorder="1" applyAlignment="1">
      <alignment horizontal="center" vertical="center" wrapText="1"/>
    </xf>
    <xf numFmtId="0" fontId="5" fillId="24" borderId="28" xfId="0" applyFont="1" applyFill="1" applyBorder="1" applyAlignment="1">
      <alignment horizontal="center" vertical="center" wrapText="1"/>
    </xf>
    <xf numFmtId="0" fontId="43" fillId="5" borderId="52" xfId="1" applyFont="1" applyFill="1" applyBorder="1" applyAlignment="1">
      <alignment horizontal="center" vertical="center"/>
    </xf>
    <xf numFmtId="0" fontId="42" fillId="5" borderId="52" xfId="1" applyFont="1" applyFill="1" applyBorder="1" applyAlignment="1">
      <alignment horizontal="center" vertical="center"/>
    </xf>
    <xf numFmtId="0" fontId="10" fillId="10" borderId="6" xfId="0" applyFont="1" applyFill="1" applyBorder="1" applyAlignment="1">
      <alignment horizontal="center" vertical="center" wrapText="1"/>
    </xf>
    <xf numFmtId="0" fontId="45" fillId="10" borderId="6" xfId="0" applyFont="1" applyFill="1" applyBorder="1" applyAlignment="1">
      <alignment horizontal="center" vertical="center"/>
    </xf>
    <xf numFmtId="0" fontId="10" fillId="7" borderId="6" xfId="0" applyFont="1" applyFill="1" applyBorder="1" applyAlignment="1">
      <alignment horizontal="center" vertical="center" wrapText="1"/>
    </xf>
    <xf numFmtId="0" fontId="10" fillId="7" borderId="9" xfId="0" applyFont="1" applyFill="1" applyBorder="1" applyAlignment="1">
      <alignment horizontal="left" wrapText="1"/>
    </xf>
    <xf numFmtId="0" fontId="10" fillId="7" borderId="14" xfId="0" applyFont="1" applyFill="1" applyBorder="1" applyAlignment="1">
      <alignment horizontal="center" vertical="center" wrapText="1"/>
    </xf>
    <xf numFmtId="0" fontId="10" fillId="10" borderId="9" xfId="0" applyFont="1" applyFill="1" applyBorder="1" applyAlignment="1">
      <alignment horizontal="left" wrapText="1"/>
    </xf>
    <xf numFmtId="0" fontId="10" fillId="10" borderId="14" xfId="0" applyFont="1" applyFill="1" applyBorder="1" applyAlignment="1">
      <alignment horizontal="center" vertical="center" wrapText="1"/>
    </xf>
    <xf numFmtId="0" fontId="10" fillId="10" borderId="47" xfId="0" applyFont="1" applyFill="1" applyBorder="1" applyAlignment="1">
      <alignment horizontal="left" wrapText="1"/>
    </xf>
    <xf numFmtId="0" fontId="10" fillId="10" borderId="48" xfId="0" applyFont="1" applyFill="1" applyBorder="1" applyAlignment="1">
      <alignment horizontal="left" wrapText="1"/>
    </xf>
    <xf numFmtId="0" fontId="10" fillId="10" borderId="15" xfId="0" applyFont="1" applyFill="1" applyBorder="1" applyAlignment="1">
      <alignment horizontal="left" wrapText="1"/>
    </xf>
    <xf numFmtId="0" fontId="10" fillId="7" borderId="15" xfId="0" applyFont="1" applyFill="1" applyBorder="1" applyAlignment="1">
      <alignment horizontal="left" wrapText="1"/>
    </xf>
    <xf numFmtId="0" fontId="10" fillId="10" borderId="49" xfId="0" applyFont="1" applyFill="1" applyBorder="1" applyAlignment="1">
      <alignment horizontal="left" wrapText="1"/>
    </xf>
    <xf numFmtId="0" fontId="33" fillId="25" borderId="37" xfId="0" applyFont="1" applyFill="1" applyBorder="1" applyAlignment="1">
      <alignment horizontal="center" vertical="center"/>
    </xf>
    <xf numFmtId="0" fontId="41" fillId="27" borderId="52" xfId="1" applyFont="1" applyFill="1" applyBorder="1" applyAlignment="1">
      <alignment horizontal="center" vertical="center" wrapText="1"/>
    </xf>
    <xf numFmtId="0" fontId="41" fillId="6" borderId="52" xfId="1" applyFont="1" applyFill="1" applyBorder="1" applyAlignment="1">
      <alignment horizontal="center" vertical="center" wrapText="1"/>
    </xf>
    <xf numFmtId="0" fontId="14" fillId="10" borderId="28" xfId="0" applyFont="1" applyFill="1" applyBorder="1" applyAlignment="1">
      <alignment horizontal="center" vertical="center" wrapText="1"/>
    </xf>
    <xf numFmtId="0" fontId="14" fillId="10" borderId="9" xfId="0" applyFont="1" applyFill="1" applyBorder="1" applyAlignment="1">
      <alignment horizontal="center" vertical="center" wrapText="1"/>
    </xf>
    <xf numFmtId="0" fontId="14" fillId="10" borderId="14" xfId="0" applyFont="1" applyFill="1" applyBorder="1" applyAlignment="1">
      <alignment horizontal="center" vertical="center" wrapText="1"/>
    </xf>
    <xf numFmtId="0" fontId="12" fillId="7" borderId="9" xfId="0" applyFont="1" applyFill="1" applyBorder="1" applyAlignment="1">
      <alignment horizontal="left" vertical="top" wrapText="1"/>
    </xf>
    <xf numFmtId="0" fontId="13" fillId="0" borderId="24" xfId="0" applyFont="1" applyBorder="1" applyAlignment="1">
      <alignment vertical="top"/>
    </xf>
    <xf numFmtId="0" fontId="13" fillId="0" borderId="24" xfId="0" applyFont="1" applyBorder="1" applyAlignment="1">
      <alignment horizontal="center"/>
    </xf>
    <xf numFmtId="0" fontId="13" fillId="23" borderId="9" xfId="0" applyFont="1" applyFill="1" applyBorder="1"/>
    <xf numFmtId="0" fontId="13" fillId="7" borderId="9" xfId="0" applyFont="1" applyFill="1" applyBorder="1"/>
    <xf numFmtId="0" fontId="13" fillId="12" borderId="9" xfId="0" applyFont="1" applyFill="1" applyBorder="1"/>
    <xf numFmtId="0" fontId="13" fillId="0" borderId="9" xfId="0" applyFont="1" applyBorder="1"/>
    <xf numFmtId="0" fontId="13" fillId="14" borderId="9" xfId="0" applyFont="1" applyFill="1" applyBorder="1"/>
    <xf numFmtId="0" fontId="13" fillId="15" borderId="9" xfId="0" applyFont="1" applyFill="1" applyBorder="1"/>
    <xf numFmtId="0" fontId="13" fillId="16" borderId="9" xfId="0" applyFont="1" applyFill="1" applyBorder="1"/>
    <xf numFmtId="0" fontId="13" fillId="8" borderId="9" xfId="0" applyFont="1" applyFill="1" applyBorder="1"/>
    <xf numFmtId="0" fontId="7" fillId="0" borderId="9" xfId="0" applyFont="1" applyBorder="1" applyAlignment="1">
      <alignment vertical="center" wrapText="1"/>
    </xf>
    <xf numFmtId="0" fontId="7" fillId="0" borderId="9" xfId="0" applyFont="1" applyBorder="1" applyAlignment="1">
      <alignment vertical="center"/>
    </xf>
    <xf numFmtId="0" fontId="7" fillId="0" borderId="24" xfId="0" applyFont="1" applyBorder="1" applyAlignment="1">
      <alignment vertical="top"/>
    </xf>
    <xf numFmtId="0" fontId="7" fillId="0" borderId="22" xfId="0" applyFont="1" applyBorder="1"/>
    <xf numFmtId="0" fontId="24" fillId="4" borderId="9" xfId="0" applyFont="1" applyFill="1" applyBorder="1" applyAlignment="1">
      <alignment horizontal="center" vertical="center" wrapText="1"/>
    </xf>
    <xf numFmtId="0" fontId="50" fillId="0" borderId="0" xfId="0" applyFont="1" applyAlignment="1">
      <alignment horizontal="left" vertical="top" wrapText="1"/>
    </xf>
    <xf numFmtId="0" fontId="47" fillId="7" borderId="33" xfId="0" applyFont="1" applyFill="1" applyBorder="1" applyAlignment="1">
      <alignment horizontal="center" vertical="center"/>
    </xf>
    <xf numFmtId="0" fontId="53" fillId="7" borderId="24" xfId="3" applyFill="1"/>
    <xf numFmtId="9" fontId="56" fillId="7" borderId="24" xfId="2" applyFont="1" applyFill="1" applyBorder="1"/>
    <xf numFmtId="0" fontId="53" fillId="7" borderId="24" xfId="3" applyFill="1" applyAlignment="1">
      <alignment horizontal="left"/>
    </xf>
    <xf numFmtId="0" fontId="57" fillId="7" borderId="60" xfId="3" applyFont="1" applyFill="1" applyBorder="1" applyAlignment="1">
      <alignment vertical="center"/>
    </xf>
    <xf numFmtId="0" fontId="57" fillId="7" borderId="57" xfId="3" applyFont="1" applyFill="1" applyBorder="1" applyAlignment="1">
      <alignment vertical="center"/>
    </xf>
    <xf numFmtId="0" fontId="57" fillId="7" borderId="56" xfId="3" applyFont="1" applyFill="1" applyBorder="1" applyAlignment="1">
      <alignment vertical="center"/>
    </xf>
    <xf numFmtId="0" fontId="58" fillId="7" borderId="61" xfId="0" applyFont="1" applyFill="1" applyBorder="1" applyAlignment="1">
      <alignment horizontal="center" vertical="center" wrapText="1"/>
    </xf>
    <xf numFmtId="1" fontId="58" fillId="7" borderId="61" xfId="0" applyNumberFormat="1" applyFont="1" applyFill="1" applyBorder="1" applyAlignment="1">
      <alignment horizontal="center" vertical="center" wrapText="1"/>
    </xf>
    <xf numFmtId="9" fontId="59" fillId="7" borderId="62" xfId="2" applyFont="1" applyFill="1" applyBorder="1" applyAlignment="1">
      <alignment horizontal="center" vertical="center"/>
    </xf>
    <xf numFmtId="0" fontId="54" fillId="7" borderId="25" xfId="3" applyFont="1" applyFill="1" applyBorder="1" applyAlignment="1">
      <alignment horizontal="center" vertical="center"/>
    </xf>
    <xf numFmtId="0" fontId="57" fillId="7" borderId="64" xfId="3" applyFont="1" applyFill="1" applyBorder="1" applyAlignment="1">
      <alignment horizontal="center"/>
    </xf>
    <xf numFmtId="0" fontId="57" fillId="7" borderId="24" xfId="3" applyFont="1" applyFill="1" applyAlignment="1">
      <alignment horizontal="center"/>
    </xf>
    <xf numFmtId="0" fontId="57" fillId="7" borderId="24" xfId="3" applyFont="1" applyFill="1"/>
    <xf numFmtId="0" fontId="57" fillId="7" borderId="64" xfId="3" applyFont="1" applyFill="1" applyBorder="1"/>
    <xf numFmtId="0" fontId="57" fillId="7" borderId="63" xfId="3" applyFont="1" applyFill="1" applyBorder="1"/>
    <xf numFmtId="0" fontId="53" fillId="7" borderId="64" xfId="3" applyFill="1" applyBorder="1"/>
    <xf numFmtId="0" fontId="16" fillId="7" borderId="24" xfId="3" applyFont="1" applyFill="1"/>
    <xf numFmtId="0" fontId="54" fillId="7" borderId="69" xfId="3" applyFont="1" applyFill="1" applyBorder="1" applyAlignment="1">
      <alignment horizontal="center" vertical="center"/>
    </xf>
    <xf numFmtId="0" fontId="63" fillId="0" borderId="69" xfId="3" applyFont="1" applyBorder="1" applyAlignment="1">
      <alignment horizontal="center" vertical="top" wrapText="1"/>
    </xf>
    <xf numFmtId="0" fontId="55" fillId="0" borderId="69" xfId="3" applyFont="1" applyBorder="1" applyAlignment="1">
      <alignment horizontal="center" vertical="top" wrapText="1"/>
    </xf>
    <xf numFmtId="1" fontId="55" fillId="0" borderId="69" xfId="3" applyNumberFormat="1" applyFont="1" applyBorder="1" applyAlignment="1">
      <alignment horizontal="center" vertical="top" wrapText="1"/>
    </xf>
    <xf numFmtId="0" fontId="63" fillId="7" borderId="24" xfId="3" applyFont="1" applyFill="1" applyAlignment="1">
      <alignment horizontal="center" vertical="top" wrapText="1"/>
    </xf>
    <xf numFmtId="0" fontId="55" fillId="7" borderId="24" xfId="3" applyFont="1" applyFill="1" applyAlignment="1">
      <alignment horizontal="center" vertical="top" wrapText="1"/>
    </xf>
    <xf numFmtId="1" fontId="55" fillId="7" borderId="24" xfId="3" applyNumberFormat="1" applyFont="1" applyFill="1" applyAlignment="1">
      <alignment horizontal="center" vertical="top" wrapText="1"/>
    </xf>
    <xf numFmtId="0" fontId="62" fillId="7" borderId="70" xfId="0" applyFont="1" applyFill="1" applyBorder="1" applyAlignment="1">
      <alignment horizontal="center" vertical="center" wrapText="1"/>
    </xf>
    <xf numFmtId="1" fontId="62" fillId="7" borderId="70" xfId="0" applyNumberFormat="1" applyFont="1" applyFill="1" applyBorder="1" applyAlignment="1">
      <alignment horizontal="center" vertical="center" wrapText="1"/>
    </xf>
    <xf numFmtId="1" fontId="62" fillId="7" borderId="66" xfId="0" applyNumberFormat="1" applyFont="1" applyFill="1" applyBorder="1" applyAlignment="1">
      <alignment horizontal="center" vertical="center" wrapText="1"/>
    </xf>
    <xf numFmtId="0" fontId="57" fillId="7" borderId="72" xfId="3" applyFont="1" applyFill="1" applyBorder="1" applyAlignment="1">
      <alignment horizontal="center"/>
    </xf>
    <xf numFmtId="0" fontId="57" fillId="7" borderId="73" xfId="3" applyFont="1" applyFill="1" applyBorder="1" applyAlignment="1">
      <alignment horizontal="center"/>
    </xf>
    <xf numFmtId="0" fontId="57" fillId="7" borderId="73" xfId="3" applyFont="1" applyFill="1" applyBorder="1"/>
    <xf numFmtId="0" fontId="57" fillId="7" borderId="72" xfId="3" applyFont="1" applyFill="1" applyBorder="1"/>
    <xf numFmtId="0" fontId="57" fillId="7" borderId="74" xfId="3" applyFont="1" applyFill="1" applyBorder="1"/>
    <xf numFmtId="0" fontId="57" fillId="7" borderId="78" xfId="3" applyFont="1" applyFill="1" applyBorder="1" applyAlignment="1">
      <alignment horizontal="center" vertical="center" textRotation="90" wrapText="1"/>
    </xf>
    <xf numFmtId="0" fontId="57" fillId="7" borderId="79" xfId="3" applyFont="1" applyFill="1" applyBorder="1"/>
    <xf numFmtId="0" fontId="57" fillId="7" borderId="78" xfId="3" applyFont="1" applyFill="1" applyBorder="1"/>
    <xf numFmtId="0" fontId="57" fillId="7" borderId="80" xfId="3" applyFont="1" applyFill="1" applyBorder="1"/>
    <xf numFmtId="0" fontId="16" fillId="7" borderId="79" xfId="3" applyFont="1" applyFill="1" applyBorder="1"/>
    <xf numFmtId="0" fontId="16" fillId="7" borderId="80" xfId="3" applyFont="1" applyFill="1" applyBorder="1"/>
    <xf numFmtId="0" fontId="16" fillId="7" borderId="78" xfId="3" applyFont="1" applyFill="1" applyBorder="1"/>
    <xf numFmtId="0" fontId="63" fillId="7" borderId="64" xfId="3" applyFont="1" applyFill="1" applyBorder="1" applyAlignment="1">
      <alignment horizontal="center" vertical="center" textRotation="90" wrapText="1"/>
    </xf>
    <xf numFmtId="0" fontId="16" fillId="7" borderId="64" xfId="3" applyFont="1" applyFill="1" applyBorder="1"/>
    <xf numFmtId="0" fontId="16" fillId="7" borderId="63" xfId="3" applyFont="1" applyFill="1" applyBorder="1"/>
    <xf numFmtId="0" fontId="62" fillId="7" borderId="87" xfId="0" applyFont="1" applyFill="1" applyBorder="1" applyAlignment="1">
      <alignment horizontal="center" vertical="center" wrapText="1"/>
    </xf>
    <xf numFmtId="1" fontId="62" fillId="7" borderId="87" xfId="0" applyNumberFormat="1" applyFont="1" applyFill="1" applyBorder="1" applyAlignment="1">
      <alignment horizontal="center" vertical="center" wrapText="1"/>
    </xf>
    <xf numFmtId="1" fontId="62" fillId="7" borderId="84" xfId="0" applyNumberFormat="1" applyFont="1" applyFill="1" applyBorder="1" applyAlignment="1">
      <alignment horizontal="center" vertical="center" wrapText="1"/>
    </xf>
    <xf numFmtId="0" fontId="63" fillId="7" borderId="91" xfId="3" applyFont="1" applyFill="1" applyBorder="1" applyAlignment="1">
      <alignment horizontal="center" vertical="center" textRotation="90" wrapText="1"/>
    </xf>
    <xf numFmtId="0" fontId="16" fillId="7" borderId="92" xfId="3" applyFont="1" applyFill="1" applyBorder="1"/>
    <xf numFmtId="0" fontId="16" fillId="7" borderId="91" xfId="3" applyFont="1" applyFill="1" applyBorder="1"/>
    <xf numFmtId="0" fontId="16" fillId="7" borderId="93" xfId="3" applyFont="1" applyFill="1" applyBorder="1"/>
    <xf numFmtId="0" fontId="16" fillId="7" borderId="63" xfId="3" applyFont="1" applyFill="1" applyBorder="1" applyAlignment="1">
      <alignment horizontal="left" vertical="center"/>
    </xf>
    <xf numFmtId="0" fontId="16" fillId="7" borderId="24" xfId="3" applyFont="1" applyFill="1" applyAlignment="1">
      <alignment horizontal="left" vertical="center"/>
    </xf>
    <xf numFmtId="0" fontId="62" fillId="7" borderId="100" xfId="0" applyFont="1" applyFill="1" applyBorder="1" applyAlignment="1">
      <alignment horizontal="center" vertical="center" wrapText="1"/>
    </xf>
    <xf numFmtId="1" fontId="62" fillId="7" borderId="100" xfId="0" applyNumberFormat="1" applyFont="1" applyFill="1" applyBorder="1" applyAlignment="1">
      <alignment horizontal="center" vertical="center" wrapText="1"/>
    </xf>
    <xf numFmtId="1" fontId="62" fillId="7" borderId="97" xfId="0" applyNumberFormat="1" applyFont="1" applyFill="1" applyBorder="1" applyAlignment="1">
      <alignment horizontal="center" vertical="center" wrapText="1"/>
    </xf>
    <xf numFmtId="0" fontId="63" fillId="7" borderId="72" xfId="3" applyFont="1" applyFill="1" applyBorder="1" applyAlignment="1">
      <alignment horizontal="center" vertical="center" textRotation="90" wrapText="1"/>
    </xf>
    <xf numFmtId="0" fontId="55" fillId="7" borderId="73" xfId="3" applyFont="1" applyFill="1" applyBorder="1" applyAlignment="1">
      <alignment horizontal="center" vertical="top" wrapText="1"/>
    </xf>
    <xf numFmtId="1" fontId="55" fillId="7" borderId="73" xfId="3" applyNumberFormat="1" applyFont="1" applyFill="1" applyBorder="1" applyAlignment="1">
      <alignment horizontal="center" vertical="top" wrapText="1"/>
    </xf>
    <xf numFmtId="0" fontId="16" fillId="7" borderId="73" xfId="3" applyFont="1" applyFill="1" applyBorder="1"/>
    <xf numFmtId="0" fontId="16" fillId="7" borderId="72" xfId="3" applyFont="1" applyFill="1" applyBorder="1"/>
    <xf numFmtId="0" fontId="16" fillId="7" borderId="74" xfId="3" applyFont="1" applyFill="1" applyBorder="1"/>
    <xf numFmtId="0" fontId="53" fillId="7" borderId="101" xfId="3" applyFill="1" applyBorder="1"/>
    <xf numFmtId="0" fontId="53" fillId="7" borderId="102" xfId="3" applyFill="1" applyBorder="1"/>
    <xf numFmtId="0" fontId="53" fillId="7" borderId="106" xfId="3" applyFill="1" applyBorder="1"/>
    <xf numFmtId="0" fontId="53" fillId="7" borderId="107" xfId="3" applyFill="1" applyBorder="1"/>
    <xf numFmtId="0" fontId="63" fillId="7" borderId="69" xfId="3" applyFont="1" applyFill="1" applyBorder="1" applyAlignment="1">
      <alignment horizontal="center" vertical="top" wrapText="1"/>
    </xf>
    <xf numFmtId="0" fontId="55" fillId="7" borderId="69" xfId="3" applyFont="1" applyFill="1" applyBorder="1" applyAlignment="1">
      <alignment horizontal="center" vertical="top" wrapText="1"/>
    </xf>
    <xf numFmtId="1" fontId="55" fillId="7" borderId="69" xfId="3" applyNumberFormat="1" applyFont="1" applyFill="1" applyBorder="1" applyAlignment="1">
      <alignment horizontal="center" vertical="top" wrapText="1"/>
    </xf>
    <xf numFmtId="0" fontId="16" fillId="7" borderId="24" xfId="3" applyFont="1" applyFill="1" applyAlignment="1">
      <alignment horizontal="center" vertical="center"/>
    </xf>
    <xf numFmtId="0" fontId="16" fillId="7" borderId="64" xfId="3" applyFont="1" applyFill="1" applyBorder="1" applyAlignment="1">
      <alignment horizontal="center" vertical="center"/>
    </xf>
    <xf numFmtId="0" fontId="16" fillId="7" borderId="63" xfId="3" applyFont="1" applyFill="1" applyBorder="1" applyAlignment="1">
      <alignment horizontal="center" vertical="center"/>
    </xf>
    <xf numFmtId="0" fontId="53" fillId="7" borderId="64" xfId="3" applyFill="1" applyBorder="1" applyAlignment="1">
      <alignment horizontal="center" vertical="center"/>
    </xf>
    <xf numFmtId="0" fontId="53" fillId="7" borderId="24" xfId="3" applyFill="1" applyAlignment="1">
      <alignment horizontal="center" vertical="center"/>
    </xf>
    <xf numFmtId="0" fontId="53" fillId="7" borderId="24" xfId="3" applyFill="1" applyAlignment="1">
      <alignment horizontal="left" vertical="center"/>
    </xf>
    <xf numFmtId="0" fontId="62" fillId="7" borderId="0" xfId="0" applyFont="1" applyFill="1" applyAlignment="1">
      <alignment horizontal="center" vertical="center" wrapText="1"/>
    </xf>
    <xf numFmtId="1" fontId="62" fillId="7" borderId="0" xfId="0" applyNumberFormat="1" applyFont="1" applyFill="1" applyAlignment="1">
      <alignment horizontal="center" vertical="center" wrapText="1"/>
    </xf>
    <xf numFmtId="0" fontId="55" fillId="7" borderId="110" xfId="3" applyFont="1" applyFill="1" applyBorder="1" applyAlignment="1">
      <alignment horizontal="center" vertical="top" wrapText="1"/>
    </xf>
    <xf numFmtId="1" fontId="55" fillId="7" borderId="110" xfId="3" applyNumberFormat="1" applyFont="1" applyFill="1" applyBorder="1" applyAlignment="1">
      <alignment horizontal="center" vertical="top" wrapText="1"/>
    </xf>
    <xf numFmtId="0" fontId="53" fillId="7" borderId="111" xfId="3" applyFill="1" applyBorder="1"/>
    <xf numFmtId="0" fontId="53" fillId="7" borderId="112" xfId="3" applyFill="1" applyBorder="1"/>
    <xf numFmtId="0" fontId="63" fillId="7" borderId="113" xfId="3" applyFont="1" applyFill="1" applyBorder="1" applyAlignment="1">
      <alignment horizontal="center" vertical="center" textRotation="90" wrapText="1"/>
    </xf>
    <xf numFmtId="0" fontId="16" fillId="7" borderId="114" xfId="3" applyFont="1" applyFill="1" applyBorder="1"/>
    <xf numFmtId="0" fontId="16" fillId="7" borderId="113" xfId="3" applyFont="1" applyFill="1" applyBorder="1"/>
    <xf numFmtId="0" fontId="16" fillId="7" borderId="115" xfId="3" applyFont="1" applyFill="1" applyBorder="1"/>
    <xf numFmtId="0" fontId="55" fillId="7" borderId="114" xfId="3" applyFont="1" applyFill="1" applyBorder="1" applyAlignment="1">
      <alignment horizontal="center" vertical="top" wrapText="1"/>
    </xf>
    <xf numFmtId="1" fontId="55" fillId="7" borderId="114" xfId="3" applyNumberFormat="1" applyFont="1" applyFill="1" applyBorder="1" applyAlignment="1">
      <alignment horizontal="center" vertical="top" wrapText="1"/>
    </xf>
    <xf numFmtId="0" fontId="63" fillId="0" borderId="124" xfId="3" applyFont="1" applyBorder="1" applyAlignment="1">
      <alignment horizontal="center" vertical="top" wrapText="1"/>
    </xf>
    <xf numFmtId="0" fontId="55" fillId="0" borderId="125" xfId="3" applyFont="1" applyBorder="1" applyAlignment="1">
      <alignment horizontal="center" vertical="top" wrapText="1"/>
    </xf>
    <xf numFmtId="1" fontId="55" fillId="0" borderId="126" xfId="3" applyNumberFormat="1" applyFont="1" applyBorder="1" applyAlignment="1">
      <alignment horizontal="center" vertical="top" wrapText="1"/>
    </xf>
    <xf numFmtId="0" fontId="62" fillId="7" borderId="127" xfId="0" applyFont="1" applyFill="1" applyBorder="1" applyAlignment="1">
      <alignment horizontal="center" vertical="center" wrapText="1"/>
    </xf>
    <xf numFmtId="1" fontId="62" fillId="7" borderId="127" xfId="0" applyNumberFormat="1" applyFont="1" applyFill="1" applyBorder="1" applyAlignment="1">
      <alignment horizontal="center" vertical="center" wrapText="1"/>
    </xf>
    <xf numFmtId="1" fontId="62" fillId="7" borderId="122" xfId="0" applyNumberFormat="1" applyFont="1" applyFill="1" applyBorder="1" applyAlignment="1">
      <alignment horizontal="center" vertical="center" wrapText="1"/>
    </xf>
    <xf numFmtId="0" fontId="16" fillId="7" borderId="128" xfId="3" applyFont="1" applyFill="1" applyBorder="1"/>
    <xf numFmtId="0" fontId="16" fillId="7" borderId="130" xfId="3" applyFont="1" applyFill="1" applyBorder="1"/>
    <xf numFmtId="0" fontId="16" fillId="7" borderId="131" xfId="3" applyFont="1" applyFill="1" applyBorder="1"/>
    <xf numFmtId="0" fontId="16" fillId="7" borderId="128" xfId="3" applyFont="1" applyFill="1" applyBorder="1" applyAlignment="1">
      <alignment vertical="center"/>
    </xf>
    <xf numFmtId="0" fontId="16" fillId="7" borderId="130" xfId="3" applyFont="1" applyFill="1" applyBorder="1" applyAlignment="1">
      <alignment vertical="center"/>
    </xf>
    <xf numFmtId="0" fontId="16" fillId="7" borderId="131" xfId="3" applyFont="1" applyFill="1" applyBorder="1" applyAlignment="1">
      <alignment vertical="center"/>
    </xf>
    <xf numFmtId="0" fontId="16" fillId="7" borderId="41" xfId="3" applyFont="1" applyFill="1" applyBorder="1"/>
    <xf numFmtId="0" fontId="16" fillId="7" borderId="132" xfId="3" applyFont="1" applyFill="1" applyBorder="1"/>
    <xf numFmtId="0" fontId="63" fillId="0" borderId="69" xfId="3" applyFont="1" applyBorder="1" applyAlignment="1">
      <alignment horizontal="center" vertical="center" wrapText="1"/>
    </xf>
    <xf numFmtId="0" fontId="55" fillId="0" borderId="69" xfId="3" applyFont="1" applyBorder="1" applyAlignment="1">
      <alignment horizontal="center" vertical="center" wrapText="1"/>
    </xf>
    <xf numFmtId="1" fontId="55" fillId="0" borderId="69" xfId="3" applyNumberFormat="1" applyFont="1" applyBorder="1" applyAlignment="1">
      <alignment horizontal="center" vertical="center" wrapText="1"/>
    </xf>
    <xf numFmtId="0" fontId="63" fillId="7" borderId="24" xfId="3" applyFont="1" applyFill="1" applyAlignment="1">
      <alignment horizontal="center" vertical="center" wrapText="1"/>
    </xf>
    <xf numFmtId="0" fontId="55" fillId="7" borderId="24" xfId="3" applyFont="1" applyFill="1" applyAlignment="1">
      <alignment horizontal="center" vertical="center" wrapText="1"/>
    </xf>
    <xf numFmtId="1" fontId="55" fillId="7" borderId="24" xfId="3" applyNumberFormat="1" applyFont="1" applyFill="1" applyAlignment="1">
      <alignment horizontal="center" vertical="center" wrapText="1"/>
    </xf>
    <xf numFmtId="0" fontId="63" fillId="7" borderId="69" xfId="3" applyFont="1" applyFill="1" applyBorder="1" applyAlignment="1">
      <alignment horizontal="center" vertical="center" wrapText="1"/>
    </xf>
    <xf numFmtId="0" fontId="55" fillId="7" borderId="69" xfId="3" applyFont="1" applyFill="1" applyBorder="1" applyAlignment="1">
      <alignment horizontal="center" vertical="center" wrapText="1"/>
    </xf>
    <xf numFmtId="1" fontId="55" fillId="7" borderId="69" xfId="3" applyNumberFormat="1" applyFont="1" applyFill="1" applyBorder="1" applyAlignment="1">
      <alignment horizontal="center" vertical="center" wrapText="1"/>
    </xf>
    <xf numFmtId="0" fontId="63" fillId="7" borderId="124" xfId="3" applyFont="1" applyFill="1" applyBorder="1" applyAlignment="1">
      <alignment horizontal="center" vertical="top" wrapText="1"/>
    </xf>
    <xf numFmtId="0" fontId="55" fillId="7" borderId="125" xfId="3" applyFont="1" applyFill="1" applyBorder="1" applyAlignment="1">
      <alignment horizontal="center" vertical="top" wrapText="1"/>
    </xf>
    <xf numFmtId="1" fontId="55" fillId="7" borderId="126" xfId="3" applyNumberFormat="1" applyFont="1" applyFill="1" applyBorder="1" applyAlignment="1">
      <alignment horizontal="center" vertical="top" wrapText="1"/>
    </xf>
    <xf numFmtId="0" fontId="62" fillId="7" borderId="138" xfId="0" applyFont="1" applyFill="1" applyBorder="1" applyAlignment="1">
      <alignment horizontal="center" vertical="center" wrapText="1"/>
    </xf>
    <xf numFmtId="1" fontId="62" fillId="7" borderId="138" xfId="0" applyNumberFormat="1" applyFont="1" applyFill="1" applyBorder="1" applyAlignment="1">
      <alignment horizontal="center" vertical="center" wrapText="1"/>
    </xf>
    <xf numFmtId="1" fontId="62" fillId="7" borderId="136" xfId="0" applyNumberFormat="1" applyFont="1" applyFill="1" applyBorder="1" applyAlignment="1">
      <alignment horizontal="center" vertical="center" wrapText="1"/>
    </xf>
    <xf numFmtId="0" fontId="16" fillId="7" borderId="42" xfId="3" applyFont="1" applyFill="1" applyBorder="1"/>
    <xf numFmtId="0" fontId="16" fillId="7" borderId="51" xfId="3" applyFont="1" applyFill="1" applyBorder="1"/>
    <xf numFmtId="0" fontId="16" fillId="7" borderId="58" xfId="3" applyFont="1" applyFill="1" applyBorder="1"/>
    <xf numFmtId="0" fontId="16" fillId="7" borderId="42" xfId="3" applyFont="1" applyFill="1" applyBorder="1" applyAlignment="1">
      <alignment vertical="center"/>
    </xf>
    <xf numFmtId="0" fontId="16" fillId="7" borderId="51" xfId="3" applyFont="1" applyFill="1" applyBorder="1" applyAlignment="1">
      <alignment vertical="center"/>
    </xf>
    <xf numFmtId="0" fontId="16" fillId="7" borderId="58" xfId="3" applyFont="1" applyFill="1" applyBorder="1" applyAlignment="1">
      <alignment vertical="center"/>
    </xf>
    <xf numFmtId="0" fontId="53" fillId="7" borderId="142" xfId="3" applyFill="1" applyBorder="1"/>
    <xf numFmtId="0" fontId="53" fillId="7" borderId="143" xfId="3" applyFill="1" applyBorder="1"/>
    <xf numFmtId="0" fontId="63" fillId="7" borderId="144" xfId="3" applyFont="1" applyFill="1" applyBorder="1" applyAlignment="1">
      <alignment horizontal="center" vertical="center" textRotation="90" wrapText="1"/>
    </xf>
    <xf numFmtId="0" fontId="55" fillId="7" borderId="145" xfId="3" applyFont="1" applyFill="1" applyBorder="1" applyAlignment="1">
      <alignment horizontal="center" vertical="top" wrapText="1"/>
    </xf>
    <xf numFmtId="1" fontId="55" fillId="7" borderId="145" xfId="3" applyNumberFormat="1" applyFont="1" applyFill="1" applyBorder="1" applyAlignment="1">
      <alignment horizontal="center" vertical="top" wrapText="1"/>
    </xf>
    <xf numFmtId="0" fontId="16" fillId="7" borderId="145" xfId="3" applyFont="1" applyFill="1" applyBorder="1"/>
    <xf numFmtId="0" fontId="16" fillId="7" borderId="144" xfId="3" applyFont="1" applyFill="1" applyBorder="1"/>
    <xf numFmtId="0" fontId="16" fillId="7" borderId="146" xfId="3" applyFont="1" applyFill="1" applyBorder="1"/>
    <xf numFmtId="0" fontId="62" fillId="7" borderId="152" xfId="0" applyFont="1" applyFill="1" applyBorder="1" applyAlignment="1">
      <alignment horizontal="center" vertical="center" wrapText="1"/>
    </xf>
    <xf numFmtId="1" fontId="62" fillId="7" borderId="152" xfId="0" applyNumberFormat="1" applyFont="1" applyFill="1" applyBorder="1" applyAlignment="1">
      <alignment horizontal="center" vertical="center" wrapText="1"/>
    </xf>
    <xf numFmtId="1" fontId="62" fillId="7" borderId="150" xfId="0" applyNumberFormat="1" applyFont="1" applyFill="1" applyBorder="1" applyAlignment="1">
      <alignment horizontal="center" vertical="center" wrapText="1"/>
    </xf>
    <xf numFmtId="0" fontId="16" fillId="7" borderId="24" xfId="3" applyFont="1" applyFill="1" applyAlignment="1">
      <alignment vertical="center"/>
    </xf>
    <xf numFmtId="0" fontId="16" fillId="7" borderId="64" xfId="3" applyFont="1" applyFill="1" applyBorder="1" applyAlignment="1">
      <alignment vertical="center"/>
    </xf>
    <xf numFmtId="0" fontId="62" fillId="7" borderId="161" xfId="0" applyFont="1" applyFill="1" applyBorder="1" applyAlignment="1">
      <alignment horizontal="center" vertical="center" wrapText="1"/>
    </xf>
    <xf numFmtId="1" fontId="62" fillId="7" borderId="161" xfId="0" applyNumberFormat="1" applyFont="1" applyFill="1" applyBorder="1" applyAlignment="1">
      <alignment horizontal="center" vertical="center" wrapText="1"/>
    </xf>
    <xf numFmtId="1" fontId="62" fillId="7" borderId="159" xfId="0" applyNumberFormat="1" applyFont="1" applyFill="1" applyBorder="1" applyAlignment="1">
      <alignment horizontal="center" vertical="center" wrapText="1"/>
    </xf>
    <xf numFmtId="0" fontId="62" fillId="7" borderId="170" xfId="0" applyFont="1" applyFill="1" applyBorder="1" applyAlignment="1">
      <alignment horizontal="center" vertical="center" wrapText="1"/>
    </xf>
    <xf numFmtId="1" fontId="62" fillId="7" borderId="170" xfId="0" applyNumberFormat="1" applyFont="1" applyFill="1" applyBorder="1" applyAlignment="1">
      <alignment horizontal="center" vertical="center" wrapText="1"/>
    </xf>
    <xf numFmtId="1" fontId="62" fillId="7" borderId="168" xfId="0" applyNumberFormat="1" applyFont="1" applyFill="1" applyBorder="1" applyAlignment="1">
      <alignment horizontal="center" vertical="center" wrapText="1"/>
    </xf>
    <xf numFmtId="0" fontId="63" fillId="7" borderId="92" xfId="3" applyFont="1" applyFill="1" applyBorder="1" applyAlignment="1">
      <alignment horizontal="center" vertical="center" textRotation="90" wrapText="1"/>
    </xf>
    <xf numFmtId="0" fontId="55" fillId="7" borderId="92" xfId="3" applyFont="1" applyFill="1" applyBorder="1" applyAlignment="1">
      <alignment horizontal="center" vertical="top" wrapText="1"/>
    </xf>
    <xf numFmtId="1" fontId="55" fillId="7" borderId="92" xfId="3" applyNumberFormat="1" applyFont="1" applyFill="1" applyBorder="1" applyAlignment="1">
      <alignment horizontal="center" vertical="top" wrapText="1"/>
    </xf>
    <xf numFmtId="0" fontId="63" fillId="7" borderId="24" xfId="3" applyFont="1" applyFill="1" applyAlignment="1">
      <alignment horizontal="center" vertical="center" textRotation="90" wrapText="1"/>
    </xf>
    <xf numFmtId="0" fontId="62" fillId="7" borderId="181" xfId="0" applyFont="1" applyFill="1" applyBorder="1" applyAlignment="1">
      <alignment horizontal="center" vertical="center" wrapText="1"/>
    </xf>
    <xf numFmtId="1" fontId="62" fillId="7" borderId="181" xfId="0" applyNumberFormat="1" applyFont="1" applyFill="1" applyBorder="1" applyAlignment="1">
      <alignment horizontal="center" vertical="center" wrapText="1"/>
    </xf>
    <xf numFmtId="1" fontId="62" fillId="7" borderId="179" xfId="0" applyNumberFormat="1" applyFont="1" applyFill="1" applyBorder="1" applyAlignment="1">
      <alignment horizontal="center" vertical="center" wrapText="1"/>
    </xf>
    <xf numFmtId="0" fontId="63" fillId="7" borderId="172" xfId="3" applyFont="1" applyFill="1" applyBorder="1" applyAlignment="1">
      <alignment horizontal="center" vertical="center" textRotation="90" wrapText="1"/>
    </xf>
    <xf numFmtId="0" fontId="53" fillId="7" borderId="173" xfId="3" applyFill="1" applyBorder="1"/>
    <xf numFmtId="0" fontId="16" fillId="7" borderId="174" xfId="3" applyFont="1" applyFill="1" applyBorder="1"/>
    <xf numFmtId="0" fontId="16" fillId="7" borderId="182" xfId="3" applyFont="1" applyFill="1" applyBorder="1"/>
    <xf numFmtId="0" fontId="63" fillId="7" borderId="51" xfId="3" applyFont="1" applyFill="1" applyBorder="1" applyAlignment="1">
      <alignment horizontal="center" vertical="center" textRotation="90" wrapText="1"/>
    </xf>
    <xf numFmtId="0" fontId="55" fillId="7" borderId="51" xfId="3" applyFont="1" applyFill="1" applyBorder="1" applyAlignment="1">
      <alignment vertical="top" wrapText="1"/>
    </xf>
    <xf numFmtId="0" fontId="16" fillId="7" borderId="71" xfId="3" applyFont="1" applyFill="1" applyBorder="1"/>
    <xf numFmtId="1" fontId="55" fillId="7" borderId="133" xfId="3" applyNumberFormat="1" applyFont="1" applyFill="1" applyBorder="1" applyAlignment="1">
      <alignment horizontal="center" vertical="center" wrapText="1"/>
    </xf>
    <xf numFmtId="0" fontId="57" fillId="0" borderId="186" xfId="3" applyFont="1" applyBorder="1" applyAlignment="1">
      <alignment horizontal="center"/>
    </xf>
    <xf numFmtId="0" fontId="16" fillId="0" borderId="187" xfId="3" applyFont="1" applyBorder="1" applyAlignment="1">
      <alignment horizontal="center"/>
    </xf>
    <xf numFmtId="0" fontId="16" fillId="0" borderId="188" xfId="3" applyFont="1" applyBorder="1" applyAlignment="1">
      <alignment horizontal="center"/>
    </xf>
    <xf numFmtId="0" fontId="55" fillId="7" borderId="51" xfId="3" applyFont="1" applyFill="1" applyBorder="1" applyAlignment="1">
      <alignment horizontal="center" vertical="top" wrapText="1"/>
    </xf>
    <xf numFmtId="1" fontId="55" fillId="7" borderId="51" xfId="3" applyNumberFormat="1" applyFont="1" applyFill="1" applyBorder="1" applyAlignment="1">
      <alignment horizontal="center" vertical="top" wrapText="1"/>
    </xf>
    <xf numFmtId="0" fontId="53" fillId="7" borderId="189" xfId="3" applyFill="1" applyBorder="1"/>
    <xf numFmtId="0" fontId="53" fillId="7" borderId="190" xfId="3" applyFill="1" applyBorder="1"/>
    <xf numFmtId="9" fontId="56" fillId="7" borderId="191" xfId="2" applyFont="1" applyFill="1" applyBorder="1"/>
    <xf numFmtId="0" fontId="57" fillId="7" borderId="130" xfId="3" applyFont="1" applyFill="1" applyBorder="1"/>
    <xf numFmtId="0" fontId="57" fillId="7" borderId="130" xfId="3" applyFont="1" applyFill="1" applyBorder="1" applyAlignment="1">
      <alignment horizontal="center"/>
    </xf>
    <xf numFmtId="9" fontId="67" fillId="7" borderId="69" xfId="2" applyFont="1" applyFill="1" applyBorder="1" applyAlignment="1">
      <alignment horizontal="center" vertical="center"/>
    </xf>
    <xf numFmtId="0" fontId="66" fillId="7" borderId="69" xfId="3" applyFont="1" applyFill="1" applyBorder="1" applyAlignment="1">
      <alignment horizontal="center" vertical="center" wrapText="1"/>
    </xf>
    <xf numFmtId="0" fontId="62" fillId="7" borderId="69" xfId="3" applyFont="1" applyFill="1" applyBorder="1" applyAlignment="1">
      <alignment horizontal="center" vertical="center" wrapText="1"/>
    </xf>
    <xf numFmtId="1" fontId="64" fillId="7" borderId="69" xfId="3" applyNumberFormat="1" applyFont="1" applyFill="1" applyBorder="1" applyAlignment="1">
      <alignment horizontal="center" vertical="center" wrapText="1"/>
    </xf>
    <xf numFmtId="0" fontId="16" fillId="7" borderId="41" xfId="3" applyFont="1" applyFill="1" applyBorder="1" applyAlignment="1">
      <alignment horizontal="center"/>
    </xf>
    <xf numFmtId="0" fontId="16" fillId="7" borderId="24" xfId="3" applyFont="1" applyFill="1" applyAlignment="1">
      <alignment horizontal="center"/>
    </xf>
    <xf numFmtId="1" fontId="1" fillId="7" borderId="24" xfId="3" applyNumberFormat="1" applyFont="1" applyFill="1" applyAlignment="1">
      <alignment horizontal="center"/>
    </xf>
    <xf numFmtId="1" fontId="16" fillId="7" borderId="24" xfId="3" applyNumberFormat="1" applyFont="1" applyFill="1" applyAlignment="1">
      <alignment horizontal="center"/>
    </xf>
    <xf numFmtId="1" fontId="57" fillId="7" borderId="24" xfId="3" applyNumberFormat="1" applyFont="1" applyFill="1" applyAlignment="1">
      <alignment horizontal="center"/>
    </xf>
    <xf numFmtId="0" fontId="16" fillId="7" borderId="132" xfId="3" applyFont="1" applyFill="1" applyBorder="1" applyAlignment="1">
      <alignment horizontal="center"/>
    </xf>
    <xf numFmtId="0" fontId="53" fillId="7" borderId="24" xfId="3" applyFill="1" applyAlignment="1">
      <alignment horizontal="center"/>
    </xf>
    <xf numFmtId="0" fontId="53" fillId="7" borderId="24" xfId="3" applyFill="1" applyAlignment="1">
      <alignment horizontal="left" wrapText="1"/>
    </xf>
    <xf numFmtId="1" fontId="56" fillId="7" borderId="24" xfId="3" applyNumberFormat="1" applyFont="1" applyFill="1" applyAlignment="1">
      <alignment horizontal="center" vertical="center"/>
    </xf>
    <xf numFmtId="9" fontId="53" fillId="7" borderId="24" xfId="2" applyFont="1" applyFill="1" applyBorder="1" applyAlignment="1">
      <alignment horizontal="center"/>
    </xf>
    <xf numFmtId="9" fontId="53" fillId="7" borderId="24" xfId="3" applyNumberFormat="1" applyFill="1" applyAlignment="1">
      <alignment horizontal="center"/>
    </xf>
    <xf numFmtId="0" fontId="56" fillId="7" borderId="69" xfId="3" applyFont="1" applyFill="1" applyBorder="1" applyAlignment="1">
      <alignment vertical="center"/>
    </xf>
    <xf numFmtId="0" fontId="56" fillId="7" borderId="24" xfId="3" applyFont="1" applyFill="1" applyAlignment="1">
      <alignment vertical="center"/>
    </xf>
    <xf numFmtId="1" fontId="63" fillId="7" borderId="69" xfId="3" applyNumberFormat="1" applyFont="1" applyFill="1" applyBorder="1" applyAlignment="1">
      <alignment horizontal="center" vertical="center"/>
    </xf>
    <xf numFmtId="1" fontId="57" fillId="7" borderId="69" xfId="3" applyNumberFormat="1" applyFont="1" applyFill="1" applyBorder="1" applyAlignment="1">
      <alignment horizontal="center" vertical="center"/>
    </xf>
    <xf numFmtId="0" fontId="57" fillId="7" borderId="42" xfId="3" applyFont="1" applyFill="1" applyBorder="1" applyAlignment="1">
      <alignment vertical="center"/>
    </xf>
    <xf numFmtId="0" fontId="57" fillId="7" borderId="192" xfId="3" applyFont="1" applyFill="1" applyBorder="1" applyAlignment="1">
      <alignment vertical="center"/>
    </xf>
    <xf numFmtId="0" fontId="57" fillId="7" borderId="58" xfId="3" applyFont="1" applyFill="1" applyBorder="1" applyAlignment="1">
      <alignment vertical="center"/>
    </xf>
    <xf numFmtId="0" fontId="62" fillId="7" borderId="127" xfId="0" applyFont="1" applyFill="1" applyBorder="1" applyAlignment="1">
      <alignment vertical="center" wrapText="1"/>
    </xf>
    <xf numFmtId="1" fontId="52" fillId="7" borderId="127" xfId="0" applyNumberFormat="1" applyFont="1" applyFill="1" applyBorder="1" applyAlignment="1">
      <alignment horizontal="center" vertical="center" wrapText="1"/>
    </xf>
    <xf numFmtId="0" fontId="56" fillId="7" borderId="24" xfId="3" applyFont="1" applyFill="1" applyAlignment="1">
      <alignment horizontal="left" vertical="center" wrapText="1"/>
    </xf>
    <xf numFmtId="9" fontId="53" fillId="7" borderId="24" xfId="2" applyFont="1" applyFill="1" applyBorder="1" applyAlignment="1">
      <alignment vertical="center"/>
    </xf>
    <xf numFmtId="9" fontId="56" fillId="7" borderId="24" xfId="3" applyNumberFormat="1" applyFont="1" applyFill="1" applyAlignment="1">
      <alignment vertical="center"/>
    </xf>
    <xf numFmtId="1" fontId="63" fillId="7" borderId="24" xfId="3" applyNumberFormat="1" applyFont="1" applyFill="1" applyAlignment="1">
      <alignment horizontal="center" vertical="center"/>
    </xf>
    <xf numFmtId="1" fontId="57" fillId="7" borderId="24" xfId="3" applyNumberFormat="1" applyFont="1" applyFill="1" applyAlignment="1">
      <alignment horizontal="center" vertical="center"/>
    </xf>
    <xf numFmtId="0" fontId="57" fillId="7" borderId="24" xfId="3" applyFont="1" applyFill="1" applyAlignment="1">
      <alignment vertical="center"/>
    </xf>
    <xf numFmtId="0" fontId="57" fillId="7" borderId="24" xfId="3" applyFont="1" applyFill="1" applyAlignment="1">
      <alignment horizontal="center" vertical="center"/>
    </xf>
    <xf numFmtId="1" fontId="56" fillId="7" borderId="24" xfId="3" applyNumberFormat="1" applyFont="1" applyFill="1" applyAlignment="1">
      <alignment vertical="center"/>
    </xf>
    <xf numFmtId="9" fontId="56" fillId="7" borderId="24" xfId="2" applyFont="1" applyFill="1" applyBorder="1" applyAlignment="1">
      <alignment vertical="center"/>
    </xf>
    <xf numFmtId="0" fontId="56" fillId="7" borderId="24" xfId="3" applyFont="1" applyFill="1" applyAlignment="1">
      <alignment horizontal="left" vertical="center"/>
    </xf>
    <xf numFmtId="0" fontId="53" fillId="7" borderId="24" xfId="3" applyFill="1" applyAlignment="1">
      <alignment vertical="center"/>
    </xf>
    <xf numFmtId="0" fontId="0" fillId="17" borderId="0" xfId="0" applyFill="1"/>
    <xf numFmtId="0" fontId="0" fillId="18" borderId="0" xfId="0" applyFill="1"/>
    <xf numFmtId="0" fontId="0" fillId="19" borderId="0" xfId="0" applyFill="1"/>
    <xf numFmtId="0" fontId="36" fillId="0" borderId="0" xfId="0" applyFont="1"/>
    <xf numFmtId="0" fontId="0" fillId="20" borderId="0" xfId="0" applyFill="1"/>
    <xf numFmtId="0" fontId="10" fillId="7" borderId="9" xfId="0" applyFont="1" applyFill="1" applyBorder="1" applyAlignment="1">
      <alignment wrapText="1"/>
    </xf>
    <xf numFmtId="0" fontId="45" fillId="0" borderId="69" xfId="0" applyFont="1" applyBorder="1" applyAlignment="1">
      <alignment vertical="top" wrapText="1"/>
    </xf>
    <xf numFmtId="0" fontId="45" fillId="6" borderId="69" xfId="0" applyFont="1" applyFill="1" applyBorder="1" applyAlignment="1">
      <alignment wrapText="1"/>
    </xf>
    <xf numFmtId="0" fontId="33" fillId="6" borderId="69" xfId="0" applyFont="1" applyFill="1" applyBorder="1" applyAlignment="1">
      <alignment horizontal="center" vertical="center"/>
    </xf>
    <xf numFmtId="0" fontId="12" fillId="17" borderId="69" xfId="0" applyFont="1" applyFill="1" applyBorder="1" applyAlignment="1">
      <alignment horizontal="center" vertical="center" wrapText="1"/>
    </xf>
    <xf numFmtId="0" fontId="12" fillId="6" borderId="69" xfId="0" applyFont="1" applyFill="1" applyBorder="1" applyAlignment="1">
      <alignment horizontal="center" vertical="center" wrapText="1"/>
    </xf>
    <xf numFmtId="0" fontId="4" fillId="6" borderId="69" xfId="0" applyFont="1" applyFill="1" applyBorder="1" applyAlignment="1">
      <alignment horizontal="center" vertical="center" wrapText="1"/>
    </xf>
    <xf numFmtId="0" fontId="10" fillId="0" borderId="69" xfId="0" applyFont="1" applyBorder="1" applyAlignment="1">
      <alignment vertical="top" wrapText="1"/>
    </xf>
    <xf numFmtId="0" fontId="10" fillId="7" borderId="69" xfId="0" applyFont="1" applyFill="1" applyBorder="1" applyAlignment="1">
      <alignment wrapText="1"/>
    </xf>
    <xf numFmtId="0" fontId="12" fillId="7" borderId="69" xfId="0" applyFont="1" applyFill="1" applyBorder="1" applyAlignment="1">
      <alignment horizontal="center" vertical="center" wrapText="1"/>
    </xf>
    <xf numFmtId="0" fontId="4" fillId="17" borderId="69" xfId="0" applyFont="1" applyFill="1" applyBorder="1" applyAlignment="1">
      <alignment horizontal="center" vertical="center" wrapText="1"/>
    </xf>
    <xf numFmtId="0" fontId="4" fillId="7" borderId="69" xfId="0" applyFont="1" applyFill="1" applyBorder="1" applyAlignment="1">
      <alignment horizontal="center" vertical="center" wrapText="1"/>
    </xf>
    <xf numFmtId="0" fontId="16" fillId="7" borderId="69" xfId="0" applyFont="1" applyFill="1" applyBorder="1" applyAlignment="1">
      <alignment horizontal="center" vertical="center"/>
    </xf>
    <xf numFmtId="0" fontId="16" fillId="7" borderId="69" xfId="0" applyFont="1" applyFill="1" applyBorder="1" applyAlignment="1">
      <alignment vertical="center"/>
    </xf>
    <xf numFmtId="0" fontId="12" fillId="7" borderId="69" xfId="0" applyFont="1" applyFill="1" applyBorder="1" applyAlignment="1">
      <alignment vertical="center" wrapText="1"/>
    </xf>
    <xf numFmtId="0" fontId="4" fillId="18" borderId="69" xfId="0" applyFont="1" applyFill="1" applyBorder="1" applyAlignment="1">
      <alignment horizontal="center" vertical="center" wrapText="1"/>
    </xf>
    <xf numFmtId="0" fontId="45" fillId="7" borderId="69" xfId="0" applyFont="1" applyFill="1" applyBorder="1" applyAlignment="1">
      <alignment wrapText="1"/>
    </xf>
    <xf numFmtId="0" fontId="12" fillId="18" borderId="69" xfId="0" applyFont="1" applyFill="1" applyBorder="1" applyAlignment="1">
      <alignment horizontal="center" vertical="center" wrapText="1"/>
    </xf>
    <xf numFmtId="0" fontId="10" fillId="6" borderId="69" xfId="0" applyFont="1" applyFill="1" applyBorder="1" applyAlignment="1">
      <alignment wrapText="1"/>
    </xf>
    <xf numFmtId="0" fontId="4" fillId="20" borderId="69" xfId="0" applyFont="1" applyFill="1" applyBorder="1" applyAlignment="1">
      <alignment horizontal="center" vertical="center" wrapText="1"/>
    </xf>
    <xf numFmtId="0" fontId="12" fillId="0" borderId="69" xfId="0" applyFont="1" applyBorder="1" applyAlignment="1">
      <alignment horizontal="center" vertical="center" wrapText="1"/>
    </xf>
    <xf numFmtId="0" fontId="4" fillId="19" borderId="69" xfId="0" applyFont="1" applyFill="1" applyBorder="1" applyAlignment="1">
      <alignment horizontal="center" vertical="center" wrapText="1"/>
    </xf>
    <xf numFmtId="0" fontId="12" fillId="19" borderId="69" xfId="0" applyFont="1" applyFill="1" applyBorder="1" applyAlignment="1">
      <alignment horizontal="center" vertical="center" wrapText="1"/>
    </xf>
    <xf numFmtId="0" fontId="12" fillId="20" borderId="69" xfId="0" applyFont="1" applyFill="1" applyBorder="1" applyAlignment="1">
      <alignment horizontal="center" vertical="center" wrapText="1"/>
    </xf>
    <xf numFmtId="0" fontId="4" fillId="0" borderId="69" xfId="0" applyFont="1" applyBorder="1" applyAlignment="1">
      <alignment horizontal="center" vertical="center" wrapText="1"/>
    </xf>
    <xf numFmtId="0" fontId="4" fillId="21" borderId="69" xfId="0" applyFont="1" applyFill="1" applyBorder="1" applyAlignment="1">
      <alignment horizontal="center" vertical="center" wrapText="1"/>
    </xf>
    <xf numFmtId="0" fontId="72" fillId="21" borderId="69" xfId="0" applyFont="1" applyFill="1" applyBorder="1" applyAlignment="1">
      <alignment horizontal="center" vertical="center" wrapText="1"/>
    </xf>
    <xf numFmtId="0" fontId="10" fillId="7" borderId="205" xfId="0" applyFont="1" applyFill="1" applyBorder="1" applyAlignment="1">
      <alignment horizontal="center" vertical="top" wrapText="1"/>
    </xf>
    <xf numFmtId="0" fontId="10" fillId="7" borderId="206" xfId="0" applyFont="1" applyFill="1" applyBorder="1" applyAlignment="1">
      <alignment horizontal="center" vertical="top" wrapText="1"/>
    </xf>
    <xf numFmtId="0" fontId="10" fillId="7" borderId="4" xfId="0" applyFont="1" applyFill="1" applyBorder="1" applyAlignment="1">
      <alignment horizontal="center" vertical="top" wrapText="1"/>
    </xf>
    <xf numFmtId="0" fontId="10" fillId="0" borderId="205" xfId="0" applyFont="1" applyBorder="1" applyAlignment="1">
      <alignment horizontal="center" vertical="top" wrapText="1"/>
    </xf>
    <xf numFmtId="0" fontId="10" fillId="0" borderId="206" xfId="0" applyFont="1" applyBorder="1" applyAlignment="1">
      <alignment horizontal="center" vertical="top" wrapText="1"/>
    </xf>
    <xf numFmtId="0" fontId="10" fillId="0" borderId="4" xfId="0" applyFont="1" applyBorder="1" applyAlignment="1">
      <alignment horizontal="center" vertical="top" wrapText="1"/>
    </xf>
    <xf numFmtId="0" fontId="10" fillId="7" borderId="7" xfId="0" applyFont="1" applyFill="1" applyBorder="1" applyAlignment="1">
      <alignment horizontal="center" vertical="top" wrapText="1"/>
    </xf>
    <xf numFmtId="0" fontId="22" fillId="0" borderId="195" xfId="0" applyFont="1" applyBorder="1" applyAlignment="1">
      <alignment horizontal="center" vertical="center"/>
    </xf>
    <xf numFmtId="0" fontId="48" fillId="0" borderId="207" xfId="0" applyFont="1" applyBorder="1" applyAlignment="1">
      <alignment horizontal="center" vertical="top" wrapText="1"/>
    </xf>
    <xf numFmtId="0" fontId="20" fillId="0" borderId="208" xfId="0" applyFont="1" applyBorder="1" applyAlignment="1">
      <alignment horizontal="center" vertical="center" wrapText="1"/>
    </xf>
    <xf numFmtId="0" fontId="7" fillId="0" borderId="208" xfId="0" applyFont="1" applyBorder="1" applyAlignment="1">
      <alignment horizontal="center" vertical="center" wrapText="1"/>
    </xf>
    <xf numFmtId="0" fontId="7" fillId="0" borderId="208" xfId="0" applyFont="1" applyBorder="1" applyAlignment="1">
      <alignment vertical="center" wrapText="1"/>
    </xf>
    <xf numFmtId="0" fontId="7" fillId="0" borderId="209" xfId="0" applyFont="1" applyBorder="1" applyAlignment="1">
      <alignment vertical="center" wrapText="1"/>
    </xf>
    <xf numFmtId="0" fontId="12" fillId="6" borderId="211" xfId="0" applyFont="1" applyFill="1" applyBorder="1" applyAlignment="1">
      <alignment horizontal="center" vertical="center" wrapText="1"/>
    </xf>
    <xf numFmtId="0" fontId="4" fillId="7" borderId="211" xfId="0" applyFont="1" applyFill="1" applyBorder="1" applyAlignment="1">
      <alignment horizontal="center" vertical="center" wrapText="1"/>
    </xf>
    <xf numFmtId="0" fontId="16" fillId="7" borderId="211" xfId="0" applyFont="1" applyFill="1" applyBorder="1" applyAlignment="1">
      <alignment vertical="center"/>
    </xf>
    <xf numFmtId="0" fontId="4" fillId="6" borderId="211" xfId="0" applyFont="1" applyFill="1" applyBorder="1" applyAlignment="1">
      <alignment horizontal="center" vertical="center" wrapText="1"/>
    </xf>
    <xf numFmtId="0" fontId="12" fillId="7" borderId="211" xfId="0" applyFont="1" applyFill="1" applyBorder="1" applyAlignment="1">
      <alignment horizontal="center" vertical="center" wrapText="1"/>
    </xf>
    <xf numFmtId="0" fontId="12" fillId="0" borderId="211" xfId="0" applyFont="1" applyBorder="1" applyAlignment="1">
      <alignment horizontal="center" vertical="center" wrapText="1"/>
    </xf>
    <xf numFmtId="0" fontId="29" fillId="0" borderId="212" xfId="0" applyFont="1" applyBorder="1" applyAlignment="1">
      <alignment horizontal="center" vertical="center"/>
    </xf>
    <xf numFmtId="0" fontId="10" fillId="0" borderId="213" xfId="0" applyFont="1" applyBorder="1" applyAlignment="1">
      <alignment vertical="top" wrapText="1"/>
    </xf>
    <xf numFmtId="0" fontId="10" fillId="7" borderId="213" xfId="0" applyFont="1" applyFill="1" applyBorder="1" applyAlignment="1">
      <alignment wrapText="1"/>
    </xf>
    <xf numFmtId="0" fontId="12" fillId="7" borderId="213" xfId="0" applyFont="1" applyFill="1" applyBorder="1" applyAlignment="1">
      <alignment horizontal="center" vertical="center" wrapText="1"/>
    </xf>
    <xf numFmtId="0" fontId="4" fillId="7" borderId="213" xfId="0" applyFont="1" applyFill="1" applyBorder="1" applyAlignment="1">
      <alignment horizontal="center" vertical="center" wrapText="1"/>
    </xf>
    <xf numFmtId="0" fontId="4" fillId="21" borderId="214" xfId="0" applyFont="1" applyFill="1" applyBorder="1" applyAlignment="1">
      <alignment horizontal="center" vertical="center" wrapText="1"/>
    </xf>
    <xf numFmtId="0" fontId="10" fillId="10" borderId="18" xfId="0" applyFont="1" applyFill="1" applyBorder="1" applyAlignment="1">
      <alignment horizontal="left" wrapText="1"/>
    </xf>
    <xf numFmtId="0" fontId="10" fillId="10" borderId="20" xfId="0" applyFont="1" applyFill="1" applyBorder="1" applyAlignment="1">
      <alignment horizontal="center" vertical="center" wrapText="1"/>
    </xf>
    <xf numFmtId="0" fontId="34" fillId="0" borderId="28" xfId="0" applyFont="1" applyBorder="1" applyAlignment="1">
      <alignment horizontal="center" vertical="center"/>
    </xf>
    <xf numFmtId="0" fontId="5" fillId="0" borderId="9"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28" xfId="0" applyFont="1" applyBorder="1" applyAlignment="1">
      <alignment horizontal="center" vertical="center" wrapText="1"/>
    </xf>
    <xf numFmtId="0" fontId="5" fillId="0" borderId="28" xfId="0" applyFont="1" applyBorder="1" applyAlignment="1">
      <alignment horizontal="center" vertical="center"/>
    </xf>
    <xf numFmtId="0" fontId="5" fillId="0" borderId="9" xfId="0" applyFont="1" applyBorder="1" applyAlignment="1">
      <alignment horizontal="center" vertical="center"/>
    </xf>
    <xf numFmtId="0" fontId="5" fillId="0" borderId="14" xfId="0" applyFont="1" applyBorder="1" applyAlignment="1">
      <alignment horizontal="center" vertical="center"/>
    </xf>
    <xf numFmtId="0" fontId="34" fillId="0" borderId="9" xfId="0" applyFont="1" applyBorder="1" applyAlignment="1">
      <alignment horizontal="center" vertical="center"/>
    </xf>
    <xf numFmtId="0" fontId="34" fillId="0" borderId="14" xfId="0" applyFont="1" applyBorder="1" applyAlignment="1">
      <alignment horizontal="center" vertical="center"/>
    </xf>
    <xf numFmtId="0" fontId="10" fillId="0" borderId="15" xfId="0" applyFont="1" applyBorder="1" applyAlignment="1">
      <alignment vertical="top" wrapText="1"/>
    </xf>
    <xf numFmtId="0" fontId="31" fillId="6" borderId="219" xfId="0" applyFont="1" applyFill="1" applyBorder="1" applyAlignment="1">
      <alignment horizontal="center" vertical="center"/>
    </xf>
    <xf numFmtId="0" fontId="31" fillId="6" borderId="10" xfId="0" applyFont="1" applyFill="1" applyBorder="1" applyAlignment="1">
      <alignment horizontal="center" vertical="center"/>
    </xf>
    <xf numFmtId="0" fontId="31" fillId="6" borderId="13" xfId="0" applyFont="1" applyFill="1" applyBorder="1" applyAlignment="1">
      <alignment horizontal="center" vertical="center"/>
    </xf>
    <xf numFmtId="0" fontId="32" fillId="6" borderId="36" xfId="0" applyFont="1" applyFill="1" applyBorder="1" applyAlignment="1">
      <alignment horizontal="center" vertical="center"/>
    </xf>
    <xf numFmtId="0" fontId="32" fillId="6" borderId="37" xfId="0" applyFont="1" applyFill="1" applyBorder="1" applyAlignment="1">
      <alignment horizontal="center" vertical="center"/>
    </xf>
    <xf numFmtId="0" fontId="32" fillId="6" borderId="38" xfId="0" applyFont="1" applyFill="1" applyBorder="1" applyAlignment="1">
      <alignment horizontal="center" vertical="center"/>
    </xf>
    <xf numFmtId="0" fontId="32" fillId="6" borderId="39" xfId="0" applyFont="1" applyFill="1" applyBorder="1" applyAlignment="1">
      <alignment horizontal="center" vertical="center"/>
    </xf>
    <xf numFmtId="0" fontId="45" fillId="7" borderId="45" xfId="0" applyFont="1" applyFill="1" applyBorder="1" applyAlignment="1">
      <alignment horizontal="left" wrapText="1"/>
    </xf>
    <xf numFmtId="0" fontId="45" fillId="7" borderId="46" xfId="0" applyFont="1" applyFill="1" applyBorder="1" applyAlignment="1">
      <alignment horizontal="left" wrapText="1"/>
    </xf>
    <xf numFmtId="0" fontId="45" fillId="7" borderId="221" xfId="0" applyFont="1" applyFill="1" applyBorder="1" applyAlignment="1">
      <alignment horizontal="center" vertical="center"/>
    </xf>
    <xf numFmtId="0" fontId="5" fillId="7" borderId="198" xfId="0" applyFont="1" applyFill="1" applyBorder="1" applyAlignment="1">
      <alignment horizontal="center" vertical="center" wrapText="1"/>
    </xf>
    <xf numFmtId="0" fontId="5" fillId="7" borderId="196" xfId="0" applyFont="1" applyFill="1" applyBorder="1" applyAlignment="1">
      <alignment horizontal="center" vertical="center" wrapText="1"/>
    </xf>
    <xf numFmtId="0" fontId="5" fillId="7" borderId="197" xfId="0" applyFont="1" applyFill="1" applyBorder="1" applyAlignment="1">
      <alignment horizontal="center" vertical="center" wrapText="1"/>
    </xf>
    <xf numFmtId="0" fontId="5" fillId="7" borderId="198" xfId="0" applyFont="1" applyFill="1" applyBorder="1" applyAlignment="1">
      <alignment horizontal="center" vertical="center"/>
    </xf>
    <xf numFmtId="0" fontId="5" fillId="7" borderId="196" xfId="0" applyFont="1" applyFill="1" applyBorder="1" applyAlignment="1">
      <alignment horizontal="center" vertical="center"/>
    </xf>
    <xf numFmtId="0" fontId="5" fillId="7" borderId="197" xfId="0" applyFont="1" applyFill="1" applyBorder="1" applyAlignment="1">
      <alignment horizontal="center" vertical="center"/>
    </xf>
    <xf numFmtId="0" fontId="34" fillId="7" borderId="198" xfId="0" applyFont="1" applyFill="1" applyBorder="1" applyAlignment="1">
      <alignment horizontal="center" vertical="center"/>
    </xf>
    <xf numFmtId="0" fontId="34" fillId="7" borderId="196" xfId="0" applyFont="1" applyFill="1" applyBorder="1" applyAlignment="1">
      <alignment horizontal="center" vertical="center"/>
    </xf>
    <xf numFmtId="0" fontId="34" fillId="7" borderId="197" xfId="0" applyFont="1" applyFill="1" applyBorder="1" applyAlignment="1">
      <alignment horizontal="center" vertical="center"/>
    </xf>
    <xf numFmtId="0" fontId="34" fillId="16" borderId="198" xfId="0" applyFont="1" applyFill="1" applyBorder="1" applyAlignment="1">
      <alignment horizontal="center" vertical="center"/>
    </xf>
    <xf numFmtId="0" fontId="34" fillId="7" borderId="199" xfId="0" applyFont="1" applyFill="1" applyBorder="1" applyAlignment="1">
      <alignment horizontal="center" vertical="center"/>
    </xf>
    <xf numFmtId="0" fontId="10" fillId="10" borderId="212" xfId="0" applyFont="1" applyFill="1" applyBorder="1" applyAlignment="1">
      <alignment horizontal="left" wrapText="1"/>
    </xf>
    <xf numFmtId="0" fontId="10" fillId="10" borderId="214" xfId="0" applyFont="1" applyFill="1" applyBorder="1" applyAlignment="1">
      <alignment horizontal="left" wrapText="1"/>
    </xf>
    <xf numFmtId="0" fontId="10" fillId="10" borderId="222" xfId="0" applyFont="1" applyFill="1" applyBorder="1" applyAlignment="1">
      <alignment horizontal="center" vertical="center" wrapText="1"/>
    </xf>
    <xf numFmtId="0" fontId="5" fillId="11" borderId="202" xfId="0" applyFont="1" applyFill="1" applyBorder="1" applyAlignment="1">
      <alignment horizontal="center" vertical="center" wrapText="1"/>
    </xf>
    <xf numFmtId="0" fontId="5" fillId="11" borderId="200" xfId="0" applyFont="1" applyFill="1" applyBorder="1" applyAlignment="1">
      <alignment horizontal="center" vertical="center" wrapText="1"/>
    </xf>
    <xf numFmtId="0" fontId="5" fillId="11" borderId="201" xfId="0" applyFont="1" applyFill="1" applyBorder="1" applyAlignment="1">
      <alignment horizontal="center" vertical="center" wrapText="1"/>
    </xf>
    <xf numFmtId="0" fontId="5" fillId="10" borderId="202" xfId="0" applyFont="1" applyFill="1" applyBorder="1" applyAlignment="1">
      <alignment horizontal="center" vertical="center"/>
    </xf>
    <xf numFmtId="0" fontId="5" fillId="10" borderId="200" xfId="0" applyFont="1" applyFill="1" applyBorder="1" applyAlignment="1">
      <alignment horizontal="center" vertical="center"/>
    </xf>
    <xf numFmtId="0" fontId="5" fillId="10" borderId="201" xfId="0" applyFont="1" applyFill="1" applyBorder="1" applyAlignment="1">
      <alignment horizontal="center" vertical="center"/>
    </xf>
    <xf numFmtId="0" fontId="34" fillId="10" borderId="202" xfId="0" applyFont="1" applyFill="1" applyBorder="1" applyAlignment="1">
      <alignment horizontal="center" vertical="center"/>
    </xf>
    <xf numFmtId="0" fontId="34" fillId="10" borderId="200" xfId="0" applyFont="1" applyFill="1" applyBorder="1" applyAlignment="1">
      <alignment horizontal="center" vertical="center"/>
    </xf>
    <xf numFmtId="0" fontId="34" fillId="10" borderId="201" xfId="0" applyFont="1" applyFill="1" applyBorder="1" applyAlignment="1">
      <alignment horizontal="center" vertical="center"/>
    </xf>
    <xf numFmtId="0" fontId="34" fillId="8" borderId="202" xfId="0" applyFont="1" applyFill="1" applyBorder="1" applyAlignment="1">
      <alignment horizontal="center" vertical="center"/>
    </xf>
    <xf numFmtId="0" fontId="34" fillId="10" borderId="203" xfId="0" applyFont="1" applyFill="1" applyBorder="1" applyAlignment="1">
      <alignment horizontal="center" vertical="center"/>
    </xf>
    <xf numFmtId="0" fontId="34" fillId="10" borderId="33" xfId="0" applyFont="1" applyFill="1" applyBorder="1" applyAlignment="1">
      <alignment horizontal="center" vertical="center"/>
    </xf>
    <xf numFmtId="0" fontId="34" fillId="10" borderId="16" xfId="0" applyFont="1" applyFill="1" applyBorder="1" applyAlignment="1">
      <alignment horizontal="center" vertical="center"/>
    </xf>
    <xf numFmtId="0" fontId="10" fillId="7" borderId="45" xfId="0" applyFont="1" applyFill="1" applyBorder="1" applyAlignment="1">
      <alignment horizontal="left" wrapText="1"/>
    </xf>
    <xf numFmtId="0" fontId="10" fillId="7" borderId="46" xfId="0" applyFont="1" applyFill="1" applyBorder="1" applyAlignment="1">
      <alignment horizontal="left" wrapText="1"/>
    </xf>
    <xf numFmtId="0" fontId="10" fillId="7" borderId="221" xfId="0" applyFont="1" applyFill="1" applyBorder="1" applyAlignment="1">
      <alignment horizontal="center" vertical="center" wrapText="1"/>
    </xf>
    <xf numFmtId="0" fontId="5" fillId="2" borderId="198" xfId="0" applyFont="1" applyFill="1" applyBorder="1" applyAlignment="1">
      <alignment horizontal="center" vertical="center" wrapText="1"/>
    </xf>
    <xf numFmtId="0" fontId="5" fillId="2" borderId="196" xfId="0" applyFont="1" applyFill="1" applyBorder="1" applyAlignment="1">
      <alignment horizontal="center" vertical="center" wrapText="1"/>
    </xf>
    <xf numFmtId="0" fontId="5" fillId="2" borderId="197" xfId="0" applyFont="1" applyFill="1" applyBorder="1" applyAlignment="1">
      <alignment horizontal="center" vertical="center" wrapText="1"/>
    </xf>
    <xf numFmtId="0" fontId="45" fillId="10" borderId="210" xfId="0" applyFont="1" applyFill="1" applyBorder="1" applyAlignment="1">
      <alignment horizontal="left" wrapText="1"/>
    </xf>
    <xf numFmtId="0" fontId="45" fillId="10" borderId="211" xfId="0" applyFont="1" applyFill="1" applyBorder="1" applyAlignment="1">
      <alignment horizontal="left" wrapText="1"/>
    </xf>
    <xf numFmtId="0" fontId="34" fillId="10" borderId="204" xfId="0" applyFont="1" applyFill="1" applyBorder="1" applyAlignment="1">
      <alignment horizontal="center" vertical="center"/>
    </xf>
    <xf numFmtId="0" fontId="10" fillId="7" borderId="212" xfId="0" applyFont="1" applyFill="1" applyBorder="1" applyAlignment="1">
      <alignment horizontal="left" wrapText="1"/>
    </xf>
    <xf numFmtId="0" fontId="10" fillId="7" borderId="214" xfId="0" applyFont="1" applyFill="1" applyBorder="1" applyAlignment="1">
      <alignment horizontal="left" wrapText="1"/>
    </xf>
    <xf numFmtId="0" fontId="10" fillId="7" borderId="222" xfId="0" applyFont="1" applyFill="1" applyBorder="1" applyAlignment="1">
      <alignment horizontal="center" vertical="center" wrapText="1"/>
    </xf>
    <xf numFmtId="0" fontId="5" fillId="2" borderId="202" xfId="0" applyFont="1" applyFill="1" applyBorder="1" applyAlignment="1">
      <alignment horizontal="center" vertical="center" wrapText="1"/>
    </xf>
    <xf numFmtId="0" fontId="5" fillId="2" borderId="200" xfId="0" applyFont="1" applyFill="1" applyBorder="1" applyAlignment="1">
      <alignment horizontal="center" vertical="center" wrapText="1"/>
    </xf>
    <xf numFmtId="0" fontId="5" fillId="2" borderId="201" xfId="0" applyFont="1" applyFill="1" applyBorder="1" applyAlignment="1">
      <alignment horizontal="center" vertical="center" wrapText="1"/>
    </xf>
    <xf numFmtId="0" fontId="5" fillId="7" borderId="202" xfId="0" applyFont="1" applyFill="1" applyBorder="1" applyAlignment="1">
      <alignment horizontal="center" vertical="center"/>
    </xf>
    <xf numFmtId="0" fontId="5" fillId="7" borderId="200" xfId="0" applyFont="1" applyFill="1" applyBorder="1" applyAlignment="1">
      <alignment horizontal="center" vertical="center"/>
    </xf>
    <xf numFmtId="0" fontId="5" fillId="7" borderId="201" xfId="0" applyFont="1" applyFill="1" applyBorder="1" applyAlignment="1">
      <alignment horizontal="center" vertical="center"/>
    </xf>
    <xf numFmtId="0" fontId="34" fillId="7" borderId="202" xfId="0" applyFont="1" applyFill="1" applyBorder="1" applyAlignment="1">
      <alignment horizontal="center" vertical="center"/>
    </xf>
    <xf numFmtId="0" fontId="34" fillId="7" borderId="200" xfId="0" applyFont="1" applyFill="1" applyBorder="1" applyAlignment="1">
      <alignment horizontal="center" vertical="center"/>
    </xf>
    <xf numFmtId="0" fontId="34" fillId="7" borderId="201" xfId="0" applyFont="1" applyFill="1" applyBorder="1" applyAlignment="1">
      <alignment horizontal="center" vertical="center"/>
    </xf>
    <xf numFmtId="0" fontId="34" fillId="7" borderId="203" xfId="0" applyFont="1" applyFill="1" applyBorder="1" applyAlignment="1">
      <alignment horizontal="center" vertical="center"/>
    </xf>
    <xf numFmtId="0" fontId="10" fillId="10" borderId="223" xfId="0" applyFont="1" applyFill="1" applyBorder="1" applyAlignment="1">
      <alignment horizontal="left" wrapText="1"/>
    </xf>
    <xf numFmtId="0" fontId="10" fillId="10" borderId="196" xfId="0" applyFont="1" applyFill="1" applyBorder="1" applyAlignment="1">
      <alignment horizontal="left" wrapText="1"/>
    </xf>
    <xf numFmtId="0" fontId="10" fillId="10" borderId="197" xfId="0" applyFont="1" applyFill="1" applyBorder="1" applyAlignment="1">
      <alignment horizontal="center" vertical="center" wrapText="1"/>
    </xf>
    <xf numFmtId="0" fontId="5" fillId="11" borderId="198" xfId="0" applyFont="1" applyFill="1" applyBorder="1" applyAlignment="1">
      <alignment horizontal="center" vertical="center" wrapText="1"/>
    </xf>
    <xf numFmtId="0" fontId="5" fillId="11" borderId="196" xfId="0" applyFont="1" applyFill="1" applyBorder="1" applyAlignment="1">
      <alignment horizontal="center" vertical="center" wrapText="1"/>
    </xf>
    <xf numFmtId="0" fontId="5" fillId="11" borderId="197" xfId="0" applyFont="1" applyFill="1" applyBorder="1" applyAlignment="1">
      <alignment horizontal="center" vertical="center" wrapText="1"/>
    </xf>
    <xf numFmtId="0" fontId="5" fillId="10" borderId="198" xfId="0" applyFont="1" applyFill="1" applyBorder="1" applyAlignment="1">
      <alignment horizontal="center" vertical="center"/>
    </xf>
    <xf numFmtId="0" fontId="5" fillId="10" borderId="196" xfId="0" applyFont="1" applyFill="1" applyBorder="1" applyAlignment="1">
      <alignment horizontal="center" vertical="center"/>
    </xf>
    <xf numFmtId="0" fontId="5" fillId="10" borderId="197" xfId="0" applyFont="1" applyFill="1" applyBorder="1" applyAlignment="1">
      <alignment horizontal="center" vertical="center"/>
    </xf>
    <xf numFmtId="0" fontId="34" fillId="10" borderId="198" xfId="0" applyFont="1" applyFill="1" applyBorder="1" applyAlignment="1">
      <alignment horizontal="center" vertical="center"/>
    </xf>
    <xf numFmtId="0" fontId="34" fillId="10" borderId="196" xfId="0" applyFont="1" applyFill="1" applyBorder="1" applyAlignment="1">
      <alignment horizontal="center" vertical="center"/>
    </xf>
    <xf numFmtId="0" fontId="34" fillId="10" borderId="197" xfId="0" applyFont="1" applyFill="1" applyBorder="1" applyAlignment="1">
      <alignment horizontal="center" vertical="center"/>
    </xf>
    <xf numFmtId="0" fontId="34" fillId="10" borderId="199" xfId="0" applyFont="1" applyFill="1" applyBorder="1" applyAlignment="1">
      <alignment horizontal="center" vertical="center"/>
    </xf>
    <xf numFmtId="0" fontId="34" fillId="7" borderId="204" xfId="0" applyFont="1" applyFill="1" applyBorder="1" applyAlignment="1">
      <alignment horizontal="center" vertical="center"/>
    </xf>
    <xf numFmtId="0" fontId="34" fillId="0" borderId="204" xfId="0" applyFont="1" applyBorder="1" applyAlignment="1">
      <alignment horizontal="center" vertical="center"/>
    </xf>
    <xf numFmtId="0" fontId="10" fillId="7" borderId="200" xfId="0" applyFont="1" applyFill="1" applyBorder="1" applyAlignment="1">
      <alignment horizontal="left" wrapText="1"/>
    </xf>
    <xf numFmtId="0" fontId="10" fillId="7" borderId="225" xfId="0" applyFont="1" applyFill="1" applyBorder="1" applyAlignment="1">
      <alignment horizontal="left" wrapText="1"/>
    </xf>
    <xf numFmtId="0" fontId="10" fillId="10" borderId="225" xfId="0" applyFont="1" applyFill="1" applyBorder="1" applyAlignment="1">
      <alignment horizontal="left" wrapText="1"/>
    </xf>
    <xf numFmtId="0" fontId="10" fillId="10" borderId="224" xfId="0" applyFont="1" applyFill="1" applyBorder="1" applyAlignment="1">
      <alignment horizontal="left" wrapText="1"/>
    </xf>
    <xf numFmtId="0" fontId="10" fillId="10" borderId="200" xfId="0" applyFont="1" applyFill="1" applyBorder="1" applyAlignment="1">
      <alignment horizontal="left" wrapText="1"/>
    </xf>
    <xf numFmtId="0" fontId="10" fillId="10" borderId="201" xfId="0" applyFont="1" applyFill="1" applyBorder="1" applyAlignment="1">
      <alignment horizontal="center" vertical="center" wrapText="1"/>
    </xf>
    <xf numFmtId="0" fontId="5" fillId="10" borderId="202" xfId="0" applyFont="1" applyFill="1" applyBorder="1" applyAlignment="1">
      <alignment horizontal="center" vertical="center" wrapText="1"/>
    </xf>
    <xf numFmtId="0" fontId="5" fillId="10" borderId="200" xfId="0" applyFont="1" applyFill="1" applyBorder="1" applyAlignment="1">
      <alignment horizontal="center" vertical="center" wrapText="1"/>
    </xf>
    <xf numFmtId="0" fontId="5" fillId="10" borderId="201" xfId="0" applyFont="1" applyFill="1" applyBorder="1" applyAlignment="1">
      <alignment horizontal="center" vertical="center" wrapText="1"/>
    </xf>
    <xf numFmtId="0" fontId="10" fillId="0" borderId="225" xfId="0" applyFont="1" applyBorder="1" applyAlignment="1">
      <alignment horizontal="left" wrapText="1"/>
    </xf>
    <xf numFmtId="0" fontId="10" fillId="7" borderId="226" xfId="0" applyFont="1" applyFill="1" applyBorder="1" applyAlignment="1">
      <alignment horizontal="left" wrapText="1"/>
    </xf>
    <xf numFmtId="0" fontId="10" fillId="7" borderId="134" xfId="0" applyFont="1" applyFill="1" applyBorder="1" applyAlignment="1">
      <alignment horizontal="left" wrapText="1"/>
    </xf>
    <xf numFmtId="0" fontId="10" fillId="7" borderId="226" xfId="0" applyFont="1" applyFill="1" applyBorder="1" applyAlignment="1">
      <alignment horizontal="center" vertical="center" wrapText="1"/>
    </xf>
    <xf numFmtId="0" fontId="10" fillId="7" borderId="135" xfId="0" applyFont="1" applyFill="1" applyBorder="1" applyAlignment="1">
      <alignment horizontal="left" wrapText="1"/>
    </xf>
    <xf numFmtId="0" fontId="10" fillId="10" borderId="226" xfId="0" applyFont="1" applyFill="1" applyBorder="1" applyAlignment="1">
      <alignment horizontal="left" wrapText="1"/>
    </xf>
    <xf numFmtId="0" fontId="10" fillId="10" borderId="134" xfId="0" applyFont="1" applyFill="1" applyBorder="1" applyAlignment="1">
      <alignment horizontal="left" wrapText="1"/>
    </xf>
    <xf numFmtId="0" fontId="10" fillId="10" borderId="226" xfId="0" applyFont="1" applyFill="1" applyBorder="1" applyAlignment="1">
      <alignment horizontal="center" vertical="center" wrapText="1"/>
    </xf>
    <xf numFmtId="0" fontId="5" fillId="13" borderId="198" xfId="0" applyFont="1" applyFill="1" applyBorder="1" applyAlignment="1">
      <alignment horizontal="center" vertical="center" wrapText="1"/>
    </xf>
    <xf numFmtId="0" fontId="34" fillId="16" borderId="200" xfId="0" applyFont="1" applyFill="1" applyBorder="1" applyAlignment="1">
      <alignment horizontal="center" vertical="center"/>
    </xf>
    <xf numFmtId="0" fontId="5" fillId="24" borderId="196" xfId="0" applyFont="1" applyFill="1" applyBorder="1" applyAlignment="1">
      <alignment horizontal="center" vertical="center" wrapText="1"/>
    </xf>
    <xf numFmtId="0" fontId="10" fillId="0" borderId="224" xfId="0" applyFont="1" applyBorder="1" applyAlignment="1">
      <alignment vertical="top" wrapText="1"/>
    </xf>
    <xf numFmtId="0" fontId="5" fillId="24" borderId="202" xfId="0" applyFont="1" applyFill="1" applyBorder="1" applyAlignment="1">
      <alignment horizontal="center" vertical="center" wrapText="1"/>
    </xf>
    <xf numFmtId="0" fontId="5" fillId="0" borderId="200" xfId="0" applyFont="1" applyBorder="1" applyAlignment="1">
      <alignment horizontal="center" vertical="center" wrapText="1"/>
    </xf>
    <xf numFmtId="0" fontId="5" fillId="0" borderId="201" xfId="0" applyFont="1" applyBorder="1" applyAlignment="1">
      <alignment horizontal="center" vertical="center" wrapText="1"/>
    </xf>
    <xf numFmtId="0" fontId="5" fillId="0" borderId="202" xfId="0" applyFont="1" applyBorder="1" applyAlignment="1">
      <alignment horizontal="center" vertical="center" wrapText="1"/>
    </xf>
    <xf numFmtId="0" fontId="5" fillId="0" borderId="202" xfId="0" applyFont="1" applyBorder="1" applyAlignment="1">
      <alignment horizontal="center" vertical="center"/>
    </xf>
    <xf numFmtId="0" fontId="5" fillId="0" borderId="200" xfId="0" applyFont="1" applyBorder="1" applyAlignment="1">
      <alignment horizontal="center" vertical="center"/>
    </xf>
    <xf numFmtId="0" fontId="5" fillId="0" borderId="201" xfId="0" applyFont="1" applyBorder="1" applyAlignment="1">
      <alignment horizontal="center" vertical="center"/>
    </xf>
    <xf numFmtId="0" fontId="34" fillId="0" borderId="202" xfId="0" applyFont="1" applyBorder="1" applyAlignment="1">
      <alignment horizontal="center" vertical="center"/>
    </xf>
    <xf numFmtId="0" fontId="34" fillId="0" borderId="200" xfId="0" applyFont="1" applyBorder="1" applyAlignment="1">
      <alignment horizontal="center" vertical="center"/>
    </xf>
    <xf numFmtId="0" fontId="34" fillId="0" borderId="201" xfId="0" applyFont="1" applyBorder="1" applyAlignment="1">
      <alignment horizontal="center" vertical="center"/>
    </xf>
    <xf numFmtId="0" fontId="34" fillId="0" borderId="203" xfId="0" applyFont="1" applyBorder="1" applyAlignment="1">
      <alignment horizontal="center" vertical="center"/>
    </xf>
    <xf numFmtId="0" fontId="34" fillId="8" borderId="16" xfId="0" applyFont="1" applyFill="1" applyBorder="1" applyAlignment="1">
      <alignment horizontal="center" vertical="center"/>
    </xf>
    <xf numFmtId="0" fontId="5" fillId="14" borderId="197" xfId="0" applyFont="1" applyFill="1" applyBorder="1" applyAlignment="1">
      <alignment horizontal="center" vertical="center"/>
    </xf>
    <xf numFmtId="0" fontId="10" fillId="10" borderId="47" xfId="0" applyFont="1" applyFill="1" applyBorder="1" applyAlignment="1">
      <alignment horizontal="center" vertical="center" wrapText="1"/>
    </xf>
    <xf numFmtId="0" fontId="5" fillId="11" borderId="223" xfId="0" applyFont="1" applyFill="1" applyBorder="1" applyAlignment="1">
      <alignment horizontal="center" vertical="center" wrapText="1"/>
    </xf>
    <xf numFmtId="0" fontId="49" fillId="13" borderId="196" xfId="0" applyFont="1" applyFill="1" applyBorder="1" applyAlignment="1">
      <alignment horizontal="center" vertical="center" wrapText="1"/>
    </xf>
    <xf numFmtId="0" fontId="5" fillId="14" borderId="20" xfId="0" applyFont="1" applyFill="1" applyBorder="1" applyAlignment="1">
      <alignment horizontal="center" vertical="center"/>
    </xf>
    <xf numFmtId="0" fontId="34" fillId="10" borderId="18" xfId="0" applyFont="1" applyFill="1" applyBorder="1" applyAlignment="1">
      <alignment horizontal="center" vertical="center"/>
    </xf>
    <xf numFmtId="0" fontId="5" fillId="24" borderId="200" xfId="0" applyFont="1" applyFill="1" applyBorder="1" applyAlignment="1">
      <alignment horizontal="center" vertical="center" wrapText="1"/>
    </xf>
    <xf numFmtId="0" fontId="34" fillId="0" borderId="196" xfId="0" applyFont="1" applyBorder="1" applyAlignment="1">
      <alignment horizontal="center" vertical="center"/>
    </xf>
    <xf numFmtId="0" fontId="10" fillId="0" borderId="6" xfId="0" applyFont="1" applyBorder="1" applyAlignment="1">
      <alignment vertical="top" wrapText="1"/>
    </xf>
    <xf numFmtId="0" fontId="10" fillId="7" borderId="19" xfId="0" applyFont="1" applyFill="1" applyBorder="1" applyAlignment="1">
      <alignment horizontal="left" wrapText="1"/>
    </xf>
    <xf numFmtId="0" fontId="5" fillId="10" borderId="15" xfId="0" applyFont="1" applyFill="1" applyBorder="1" applyAlignment="1">
      <alignment horizontal="center" vertical="center" wrapText="1"/>
    </xf>
    <xf numFmtId="0" fontId="10" fillId="7" borderId="218" xfId="0" applyFont="1" applyFill="1" applyBorder="1" applyAlignment="1">
      <alignment horizontal="center" vertical="center" wrapText="1"/>
    </xf>
    <xf numFmtId="0" fontId="10" fillId="10" borderId="216" xfId="0" applyFont="1" applyFill="1" applyBorder="1" applyAlignment="1">
      <alignment horizontal="center" vertical="center" wrapText="1"/>
    </xf>
    <xf numFmtId="0" fontId="10" fillId="7" borderId="227" xfId="0" applyFont="1" applyFill="1" applyBorder="1" applyAlignment="1">
      <alignment horizontal="center" vertical="center" wrapText="1"/>
    </xf>
    <xf numFmtId="0" fontId="34" fillId="7" borderId="29" xfId="0" applyFont="1" applyFill="1" applyBorder="1" applyAlignment="1">
      <alignment horizontal="center" vertical="center"/>
    </xf>
    <xf numFmtId="0" fontId="34" fillId="7" borderId="18" xfId="0" applyFont="1" applyFill="1" applyBorder="1" applyAlignment="1">
      <alignment horizontal="center" vertical="center"/>
    </xf>
    <xf numFmtId="0" fontId="34" fillId="0" borderId="16" xfId="0" applyFont="1" applyBorder="1" applyAlignment="1">
      <alignment horizontal="center" vertical="center"/>
    </xf>
    <xf numFmtId="0" fontId="34" fillId="10" borderId="69" xfId="0" applyFont="1" applyFill="1" applyBorder="1" applyAlignment="1">
      <alignment horizontal="center" vertical="center"/>
    </xf>
    <xf numFmtId="0" fontId="34" fillId="8" borderId="69" xfId="0" applyFont="1" applyFill="1" applyBorder="1" applyAlignment="1">
      <alignment horizontal="center" vertical="center"/>
    </xf>
    <xf numFmtId="0" fontId="34" fillId="7" borderId="69" xfId="0" applyFont="1" applyFill="1" applyBorder="1" applyAlignment="1">
      <alignment horizontal="center" vertical="center"/>
    </xf>
    <xf numFmtId="0" fontId="34" fillId="7" borderId="228" xfId="0" applyFont="1" applyFill="1" applyBorder="1" applyAlignment="1">
      <alignment horizontal="center" vertical="center"/>
    </xf>
    <xf numFmtId="0" fontId="34" fillId="10" borderId="45" xfId="0" applyFont="1" applyFill="1" applyBorder="1" applyAlignment="1">
      <alignment horizontal="center" vertical="center"/>
    </xf>
    <xf numFmtId="0" fontId="34" fillId="10" borderId="230" xfId="0" applyFont="1" applyFill="1" applyBorder="1" applyAlignment="1">
      <alignment horizontal="center" vertical="center"/>
    </xf>
    <xf numFmtId="0" fontId="34" fillId="10" borderId="231" xfId="0" applyFont="1" applyFill="1" applyBorder="1" applyAlignment="1">
      <alignment horizontal="center" vertical="center"/>
    </xf>
    <xf numFmtId="0" fontId="34" fillId="7" borderId="210" xfId="0" applyFont="1" applyFill="1" applyBorder="1" applyAlignment="1">
      <alignment horizontal="center" vertical="center"/>
    </xf>
    <xf numFmtId="0" fontId="34" fillId="7" borderId="232" xfId="0" applyFont="1" applyFill="1" applyBorder="1" applyAlignment="1">
      <alignment horizontal="center" vertical="center"/>
    </xf>
    <xf numFmtId="0" fontId="34" fillId="10" borderId="210" xfId="0" applyFont="1" applyFill="1" applyBorder="1" applyAlignment="1">
      <alignment horizontal="center" vertical="center"/>
    </xf>
    <xf numFmtId="0" fontId="34" fillId="10" borderId="232" xfId="0" applyFont="1" applyFill="1" applyBorder="1" applyAlignment="1">
      <alignment horizontal="center" vertical="center"/>
    </xf>
    <xf numFmtId="0" fontId="34" fillId="7" borderId="44" xfId="0" applyFont="1" applyFill="1" applyBorder="1" applyAlignment="1">
      <alignment horizontal="center" vertical="center"/>
    </xf>
    <xf numFmtId="0" fontId="34" fillId="0" borderId="15" xfId="0" applyFont="1" applyBorder="1" applyAlignment="1">
      <alignment horizontal="center" vertical="center"/>
    </xf>
    <xf numFmtId="0" fontId="10" fillId="10" borderId="15" xfId="0" applyFont="1" applyFill="1" applyBorder="1" applyAlignment="1">
      <alignment vertical="top" wrapText="1"/>
    </xf>
    <xf numFmtId="0" fontId="10" fillId="0" borderId="224" xfId="0" applyFont="1" applyBorder="1" applyAlignment="1">
      <alignment horizontal="left" wrapText="1"/>
    </xf>
    <xf numFmtId="0" fontId="10" fillId="0" borderId="200" xfId="0" applyFont="1" applyBorder="1" applyAlignment="1">
      <alignment horizontal="left" wrapText="1"/>
    </xf>
    <xf numFmtId="0" fontId="10" fillId="0" borderId="201" xfId="0" applyFont="1" applyBorder="1" applyAlignment="1">
      <alignment horizontal="center" vertical="center" wrapText="1"/>
    </xf>
    <xf numFmtId="0" fontId="10" fillId="10" borderId="223" xfId="0" applyFont="1" applyFill="1" applyBorder="1" applyAlignment="1">
      <alignment vertical="top" wrapText="1"/>
    </xf>
    <xf numFmtId="0" fontId="10" fillId="10" borderId="221" xfId="0" applyFont="1" applyFill="1" applyBorder="1" applyAlignment="1">
      <alignment horizontal="center" vertical="center" wrapText="1"/>
    </xf>
    <xf numFmtId="0" fontId="10" fillId="10" borderId="200" xfId="0" applyFont="1" applyFill="1" applyBorder="1" applyAlignment="1">
      <alignment vertical="top" wrapText="1"/>
    </xf>
    <xf numFmtId="0" fontId="10" fillId="10" borderId="200" xfId="0" applyFont="1" applyFill="1" applyBorder="1" applyAlignment="1">
      <alignment wrapText="1"/>
    </xf>
    <xf numFmtId="0" fontId="12" fillId="10" borderId="201" xfId="0" applyFont="1" applyFill="1" applyBorder="1" applyAlignment="1">
      <alignment horizontal="center" vertical="center" wrapText="1"/>
    </xf>
    <xf numFmtId="0" fontId="10" fillId="0" borderId="6" xfId="0" applyFont="1" applyBorder="1" applyAlignment="1">
      <alignment horizontal="center" vertical="center" wrapText="1"/>
    </xf>
    <xf numFmtId="0" fontId="10" fillId="0" borderId="48" xfId="0" applyFont="1" applyBorder="1" applyAlignment="1">
      <alignment horizontal="left" wrapText="1"/>
    </xf>
    <xf numFmtId="0" fontId="10" fillId="0" borderId="223" xfId="0" applyFont="1" applyBorder="1" applyAlignment="1">
      <alignment horizontal="left" wrapText="1"/>
    </xf>
    <xf numFmtId="0" fontId="10" fillId="0" borderId="197" xfId="0" applyFont="1" applyBorder="1" applyAlignment="1">
      <alignment horizontal="center" vertical="center" wrapText="1"/>
    </xf>
    <xf numFmtId="0" fontId="5" fillId="0" borderId="198" xfId="0" applyFont="1" applyBorder="1" applyAlignment="1">
      <alignment horizontal="center" vertical="center" wrapText="1"/>
    </xf>
    <xf numFmtId="0" fontId="5" fillId="0" borderId="196" xfId="0" applyFont="1" applyBorder="1" applyAlignment="1">
      <alignment horizontal="center" vertical="center" wrapText="1"/>
    </xf>
    <xf numFmtId="0" fontId="5" fillId="0" borderId="197" xfId="0" applyFont="1" applyBorder="1" applyAlignment="1">
      <alignment horizontal="center" vertical="center" wrapText="1"/>
    </xf>
    <xf numFmtId="0" fontId="5" fillId="0" borderId="198" xfId="0" applyFont="1" applyBorder="1" applyAlignment="1">
      <alignment horizontal="center" vertical="center"/>
    </xf>
    <xf numFmtId="0" fontId="5" fillId="0" borderId="196" xfId="0" applyFont="1" applyBorder="1" applyAlignment="1">
      <alignment horizontal="center" vertical="center"/>
    </xf>
    <xf numFmtId="0" fontId="5" fillId="0" borderId="197" xfId="0" applyFont="1" applyBorder="1" applyAlignment="1">
      <alignment horizontal="center" vertical="center"/>
    </xf>
    <xf numFmtId="0" fontId="34" fillId="0" borderId="198" xfId="0" applyFont="1" applyBorder="1" applyAlignment="1">
      <alignment horizontal="center" vertical="center"/>
    </xf>
    <xf numFmtId="0" fontId="34" fillId="0" borderId="197" xfId="0" applyFont="1" applyBorder="1" applyAlignment="1">
      <alignment horizontal="center" vertical="center"/>
    </xf>
    <xf numFmtId="0" fontId="34" fillId="0" borderId="199" xfId="0" applyFont="1" applyBorder="1" applyAlignment="1">
      <alignment horizontal="center" vertical="center"/>
    </xf>
    <xf numFmtId="0" fontId="10" fillId="10" borderId="9" xfId="0" applyFont="1" applyFill="1" applyBorder="1" applyAlignment="1">
      <alignment wrapText="1"/>
    </xf>
    <xf numFmtId="0" fontId="12" fillId="10" borderId="14" xfId="0" applyFont="1" applyFill="1" applyBorder="1" applyAlignment="1">
      <alignment horizontal="center" vertical="center" wrapText="1"/>
    </xf>
    <xf numFmtId="0" fontId="10" fillId="0" borderId="9" xfId="0" applyFont="1" applyBorder="1" applyAlignment="1">
      <alignment wrapText="1"/>
    </xf>
    <xf numFmtId="0" fontId="12" fillId="0" borderId="14" xfId="0" applyFont="1" applyBorder="1" applyAlignment="1">
      <alignment horizontal="center" vertical="center" wrapText="1"/>
    </xf>
    <xf numFmtId="0" fontId="10" fillId="10" borderId="6" xfId="0" applyFont="1" applyFill="1" applyBorder="1" applyAlignment="1">
      <alignment horizontal="left" wrapText="1"/>
    </xf>
    <xf numFmtId="0" fontId="10" fillId="0" borderId="134" xfId="0" applyFont="1" applyBorder="1" applyAlignment="1">
      <alignment horizontal="left" wrapText="1"/>
    </xf>
    <xf numFmtId="0" fontId="10" fillId="0" borderId="216" xfId="0" applyFont="1" applyBorder="1" applyAlignment="1">
      <alignment horizontal="center" vertical="center" wrapText="1"/>
    </xf>
    <xf numFmtId="0" fontId="5" fillId="0" borderId="15" xfId="0" applyFont="1" applyBorder="1" applyAlignment="1">
      <alignment horizontal="center" vertical="center" wrapText="1"/>
    </xf>
    <xf numFmtId="0" fontId="10" fillId="0" borderId="216" xfId="0" applyFont="1" applyBorder="1" applyAlignment="1">
      <alignment wrapText="1"/>
    </xf>
    <xf numFmtId="0" fontId="10" fillId="0" borderId="130" xfId="0" applyFont="1" applyBorder="1" applyAlignment="1">
      <alignment horizontal="left" wrapText="1"/>
    </xf>
    <xf numFmtId="0" fontId="10" fillId="0" borderId="227" xfId="0" applyFont="1" applyBorder="1" applyAlignment="1">
      <alignment horizontal="left" wrapText="1"/>
    </xf>
    <xf numFmtId="0" fontId="10" fillId="0" borderId="227"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29" xfId="0" applyFont="1" applyBorder="1" applyAlignment="1">
      <alignment horizontal="center" vertical="center" wrapText="1"/>
    </xf>
    <xf numFmtId="0" fontId="5" fillId="0" borderId="29" xfId="0" applyFont="1" applyBorder="1" applyAlignment="1">
      <alignment horizontal="center" vertical="center"/>
    </xf>
    <xf numFmtId="0" fontId="5" fillId="0" borderId="18" xfId="0" applyFont="1" applyBorder="1" applyAlignment="1">
      <alignment horizontal="center" vertical="center"/>
    </xf>
    <xf numFmtId="0" fontId="34" fillId="0" borderId="29" xfId="0" applyFont="1" applyBorder="1" applyAlignment="1">
      <alignment horizontal="center" vertical="center"/>
    </xf>
    <xf numFmtId="0" fontId="34" fillId="0" borderId="18" xfId="0" applyFont="1" applyBorder="1" applyAlignment="1">
      <alignment horizontal="center" vertical="center"/>
    </xf>
    <xf numFmtId="0" fontId="34" fillId="0" borderId="20" xfId="0" applyFont="1" applyBorder="1" applyAlignment="1">
      <alignment horizontal="center" vertical="center"/>
    </xf>
    <xf numFmtId="0" fontId="34" fillId="0" borderId="212" xfId="0" applyFont="1" applyBorder="1" applyAlignment="1">
      <alignment horizontal="center" vertical="center"/>
    </xf>
    <xf numFmtId="0" fontId="34" fillId="0" borderId="213" xfId="0" applyFont="1" applyBorder="1" applyAlignment="1">
      <alignment horizontal="center" vertical="center"/>
    </xf>
    <xf numFmtId="0" fontId="34" fillId="0" borderId="233" xfId="0" applyFont="1" applyBorder="1" applyAlignment="1">
      <alignment horizontal="center" vertical="center"/>
    </xf>
    <xf numFmtId="0" fontId="14" fillId="0" borderId="15"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14" xfId="0" applyFont="1" applyBorder="1" applyAlignment="1">
      <alignment horizontal="center" vertical="center" wrapText="1"/>
    </xf>
    <xf numFmtId="0" fontId="14" fillId="0" borderId="28" xfId="0" applyFont="1" applyBorder="1" applyAlignment="1">
      <alignment horizontal="center" vertical="center" wrapText="1"/>
    </xf>
    <xf numFmtId="0" fontId="14" fillId="0" borderId="28" xfId="0" applyFont="1" applyBorder="1" applyAlignment="1">
      <alignment horizontal="center" vertical="center"/>
    </xf>
    <xf numFmtId="0" fontId="14" fillId="0" borderId="9" xfId="0" applyFont="1" applyBorder="1" applyAlignment="1">
      <alignment horizontal="center" vertical="center"/>
    </xf>
    <xf numFmtId="0" fontId="14" fillId="0" borderId="14" xfId="0" applyFont="1" applyBorder="1" applyAlignment="1">
      <alignment horizontal="center" vertical="center"/>
    </xf>
    <xf numFmtId="0" fontId="34" fillId="0" borderId="210" xfId="0" applyFont="1" applyBorder="1" applyAlignment="1">
      <alignment horizontal="center" vertical="center"/>
    </xf>
    <xf numFmtId="0" fontId="34" fillId="0" borderId="69" xfId="0" applyFont="1" applyBorder="1" applyAlignment="1">
      <alignment horizontal="center" vertical="center"/>
    </xf>
    <xf numFmtId="0" fontId="34" fillId="0" borderId="232" xfId="0" applyFont="1" applyBorder="1" applyAlignment="1">
      <alignment horizontal="center" vertical="center"/>
    </xf>
    <xf numFmtId="0" fontId="12" fillId="10" borderId="197" xfId="0" applyFont="1" applyFill="1" applyBorder="1" applyAlignment="1">
      <alignment horizontal="center" vertical="center" wrapText="1"/>
    </xf>
    <xf numFmtId="0" fontId="14" fillId="10" borderId="198" xfId="0" applyFont="1" applyFill="1" applyBorder="1" applyAlignment="1">
      <alignment horizontal="center" vertical="center" wrapText="1"/>
    </xf>
    <xf numFmtId="0" fontId="14" fillId="10" borderId="196" xfId="0" applyFont="1" applyFill="1" applyBorder="1" applyAlignment="1">
      <alignment horizontal="center" vertical="center" wrapText="1"/>
    </xf>
    <xf numFmtId="0" fontId="14" fillId="10" borderId="197" xfId="0" applyFont="1" applyFill="1" applyBorder="1" applyAlignment="1">
      <alignment horizontal="center" vertical="center" wrapText="1"/>
    </xf>
    <xf numFmtId="0" fontId="14" fillId="10" borderId="198" xfId="0" applyFont="1" applyFill="1" applyBorder="1" applyAlignment="1">
      <alignment horizontal="center" vertical="center"/>
    </xf>
    <xf numFmtId="0" fontId="14" fillId="10" borderId="196" xfId="0" applyFont="1" applyFill="1" applyBorder="1" applyAlignment="1">
      <alignment horizontal="center" vertical="center"/>
    </xf>
    <xf numFmtId="0" fontId="14" fillId="10" borderId="197" xfId="0" applyFont="1" applyFill="1" applyBorder="1" applyAlignment="1">
      <alignment horizontal="center" vertical="center"/>
    </xf>
    <xf numFmtId="0" fontId="34" fillId="10" borderId="229" xfId="0" applyFont="1" applyFill="1" applyBorder="1" applyAlignment="1">
      <alignment horizontal="center" vertical="center"/>
    </xf>
    <xf numFmtId="0" fontId="10" fillId="10" borderId="196" xfId="0" applyFont="1" applyFill="1" applyBorder="1" applyAlignment="1">
      <alignment wrapText="1"/>
    </xf>
    <xf numFmtId="0" fontId="14" fillId="23" borderId="14" xfId="0" applyFont="1" applyFill="1" applyBorder="1" applyAlignment="1">
      <alignment horizontal="center" vertical="center" wrapText="1"/>
    </xf>
    <xf numFmtId="0" fontId="10" fillId="0" borderId="16" xfId="0" applyFont="1" applyBorder="1" applyAlignment="1">
      <alignment horizontal="left" vertical="top" wrapText="1"/>
    </xf>
    <xf numFmtId="0" fontId="10" fillId="0" borderId="16" xfId="0" applyFont="1" applyBorder="1" applyAlignment="1">
      <alignment horizontal="left" wrapText="1"/>
    </xf>
    <xf numFmtId="0" fontId="10" fillId="0" borderId="23" xfId="0" applyFont="1" applyBorder="1" applyAlignment="1">
      <alignment horizontal="center" vertical="center" wrapText="1"/>
    </xf>
    <xf numFmtId="0" fontId="14" fillId="0" borderId="33" xfId="0" applyFont="1" applyBorder="1" applyAlignment="1">
      <alignment horizontal="center" vertical="center" wrapText="1"/>
    </xf>
    <xf numFmtId="0" fontId="14" fillId="0" borderId="16" xfId="0" applyFont="1" applyBorder="1" applyAlignment="1">
      <alignment horizontal="center" vertical="center" wrapText="1"/>
    </xf>
    <xf numFmtId="0" fontId="14" fillId="0" borderId="23" xfId="0" applyFont="1" applyBorder="1" applyAlignment="1">
      <alignment horizontal="center" vertical="center" wrapText="1"/>
    </xf>
    <xf numFmtId="0" fontId="14" fillId="0" borderId="33" xfId="0" applyFont="1" applyBorder="1" applyAlignment="1">
      <alignment horizontal="center" vertical="center"/>
    </xf>
    <xf numFmtId="0" fontId="14" fillId="0" borderId="16" xfId="0" applyFont="1" applyBorder="1" applyAlignment="1">
      <alignment horizontal="center" vertical="center"/>
    </xf>
    <xf numFmtId="0" fontId="14" fillId="0" borderId="23" xfId="0" applyFont="1" applyBorder="1" applyAlignment="1">
      <alignment horizontal="center" vertical="center"/>
    </xf>
    <xf numFmtId="0" fontId="34" fillId="0" borderId="33" xfId="0" applyFont="1" applyBorder="1" applyAlignment="1">
      <alignment horizontal="center" vertical="center"/>
    </xf>
    <xf numFmtId="0" fontId="34" fillId="0" borderId="23" xfId="0" applyFont="1" applyBorder="1" applyAlignment="1">
      <alignment horizontal="center" vertical="center"/>
    </xf>
    <xf numFmtId="0" fontId="75" fillId="6" borderId="25" xfId="0" applyFont="1" applyFill="1" applyBorder="1" applyAlignment="1">
      <alignment horizontal="center" vertical="center" wrapText="1"/>
    </xf>
    <xf numFmtId="0" fontId="75" fillId="5" borderId="25" xfId="0" applyFont="1" applyFill="1" applyBorder="1" applyAlignment="1">
      <alignment vertical="top" wrapText="1"/>
    </xf>
    <xf numFmtId="0" fontId="77" fillId="6" borderId="0" xfId="0" applyFont="1" applyFill="1" applyAlignment="1">
      <alignment horizontal="center" vertical="center" wrapText="1"/>
    </xf>
    <xf numFmtId="0" fontId="75" fillId="22" borderId="25" xfId="0" applyFont="1" applyFill="1" applyBorder="1" applyAlignment="1">
      <alignment vertical="top" wrapText="1"/>
    </xf>
    <xf numFmtId="0" fontId="75" fillId="26" borderId="25" xfId="0" applyFont="1" applyFill="1" applyBorder="1" applyAlignment="1">
      <alignment horizontal="center" vertical="center" wrapText="1"/>
    </xf>
    <xf numFmtId="0" fontId="75" fillId="6" borderId="25" xfId="0" applyFont="1" applyFill="1" applyBorder="1" applyAlignment="1">
      <alignment vertical="top" wrapText="1"/>
    </xf>
    <xf numFmtId="0" fontId="77" fillId="6" borderId="43" xfId="0" applyFont="1" applyFill="1" applyBorder="1" applyAlignment="1">
      <alignment horizontal="center" vertical="center" wrapText="1"/>
    </xf>
    <xf numFmtId="0" fontId="75" fillId="7" borderId="25" xfId="0" applyFont="1" applyFill="1" applyBorder="1" applyAlignment="1">
      <alignment horizontal="left" vertical="top" wrapText="1"/>
    </xf>
    <xf numFmtId="0" fontId="10" fillId="0" borderId="52" xfId="0" applyFont="1" applyBorder="1" applyAlignment="1">
      <alignment horizontal="left" wrapText="1"/>
    </xf>
    <xf numFmtId="0" fontId="79" fillId="0" borderId="52" xfId="1" applyFont="1" applyBorder="1" applyAlignment="1">
      <alignment horizontal="center" vertical="center"/>
    </xf>
    <xf numFmtId="0" fontId="79" fillId="0" borderId="52" xfId="1" applyFont="1" applyBorder="1" applyAlignment="1">
      <alignment horizontal="center"/>
    </xf>
    <xf numFmtId="0" fontId="80" fillId="0" borderId="52" xfId="0" applyFont="1" applyBorder="1" applyAlignment="1">
      <alignment horizontal="center" vertical="center" wrapText="1"/>
    </xf>
    <xf numFmtId="0" fontId="3" fillId="0" borderId="52" xfId="1" applyFont="1" applyBorder="1" applyAlignment="1">
      <alignment vertical="center"/>
    </xf>
    <xf numFmtId="0" fontId="3" fillId="0" borderId="52" xfId="1" applyFont="1" applyBorder="1" applyAlignment="1">
      <alignment horizontal="center" vertical="center"/>
    </xf>
    <xf numFmtId="0" fontId="81" fillId="0" borderId="52" xfId="1" applyFont="1" applyBorder="1" applyAlignment="1">
      <alignment horizontal="center" vertical="center"/>
    </xf>
    <xf numFmtId="0" fontId="24" fillId="4" borderId="13" xfId="0" applyFont="1" applyFill="1" applyBorder="1" applyAlignment="1">
      <alignment horizontal="center" wrapText="1"/>
    </xf>
    <xf numFmtId="0" fontId="24" fillId="4" borderId="18" xfId="0" applyFont="1" applyFill="1" applyBorder="1" applyAlignment="1">
      <alignment horizontal="center" wrapText="1"/>
    </xf>
    <xf numFmtId="0" fontId="25" fillId="35" borderId="69" xfId="0" applyFont="1" applyFill="1" applyBorder="1" applyAlignment="1">
      <alignment horizontal="center" vertical="center" wrapText="1"/>
    </xf>
    <xf numFmtId="0" fontId="25" fillId="0" borderId="69" xfId="0" applyFont="1" applyBorder="1" applyAlignment="1">
      <alignment horizontal="center" vertical="center"/>
    </xf>
    <xf numFmtId="0" fontId="2" fillId="0" borderId="24" xfId="0" applyFont="1" applyBorder="1"/>
    <xf numFmtId="0" fontId="2" fillId="0" borderId="0" xfId="0" applyFont="1"/>
    <xf numFmtId="0" fontId="38" fillId="0" borderId="23" xfId="0" applyFont="1" applyBorder="1" applyAlignment="1">
      <alignment horizontal="center" vertical="center" wrapText="1"/>
    </xf>
    <xf numFmtId="0" fontId="25" fillId="0" borderId="22" xfId="0" applyFont="1" applyBorder="1" applyAlignment="1">
      <alignment horizontal="left" vertical="center" wrapText="1"/>
    </xf>
    <xf numFmtId="0" fontId="25" fillId="0" borderId="235" xfId="0" applyFont="1" applyBorder="1" applyAlignment="1">
      <alignment horizontal="left" vertical="center" wrapText="1"/>
    </xf>
    <xf numFmtId="0" fontId="34" fillId="15" borderId="28" xfId="0" applyFont="1" applyFill="1" applyBorder="1" applyAlignment="1">
      <alignment horizontal="center" vertical="center"/>
    </xf>
    <xf numFmtId="0" fontId="5" fillId="36" borderId="28" xfId="0" applyFont="1" applyFill="1" applyBorder="1" applyAlignment="1">
      <alignment horizontal="center" vertical="center"/>
    </xf>
    <xf numFmtId="0" fontId="34" fillId="15" borderId="196" xfId="0" applyFont="1" applyFill="1" applyBorder="1" applyAlignment="1">
      <alignment horizontal="center" vertical="center"/>
    </xf>
    <xf numFmtId="0" fontId="14" fillId="14" borderId="14" xfId="0" applyFont="1" applyFill="1" applyBorder="1" applyAlignment="1">
      <alignment horizontal="center" vertical="center"/>
    </xf>
    <xf numFmtId="0" fontId="10" fillId="37" borderId="223" xfId="0" applyFont="1" applyFill="1" applyBorder="1" applyAlignment="1">
      <alignment vertical="top" wrapText="1"/>
    </xf>
    <xf numFmtId="0" fontId="10" fillId="37" borderId="15" xfId="0" applyFont="1" applyFill="1" applyBorder="1" applyAlignment="1">
      <alignment vertical="top" wrapText="1"/>
    </xf>
    <xf numFmtId="0" fontId="2" fillId="0" borderId="69" xfId="0" applyFont="1" applyBorder="1" applyAlignment="1">
      <alignment wrapText="1"/>
    </xf>
    <xf numFmtId="0" fontId="2" fillId="0" borderId="69" xfId="0" applyFont="1" applyBorder="1" applyAlignment="1">
      <alignment horizontal="center" wrapText="1"/>
    </xf>
    <xf numFmtId="0" fontId="2" fillId="0" borderId="69" xfId="0" applyFont="1" applyBorder="1" applyAlignment="1">
      <alignment horizontal="left" vertical="center" wrapText="1"/>
    </xf>
    <xf numFmtId="0" fontId="2" fillId="0" borderId="69" xfId="0" applyFont="1" applyBorder="1" applyAlignment="1">
      <alignment vertical="center" wrapText="1"/>
    </xf>
    <xf numFmtId="0" fontId="73" fillId="0" borderId="14" xfId="0" applyFont="1" applyBorder="1" applyAlignment="1">
      <alignment horizontal="left" vertical="center" wrapText="1"/>
    </xf>
    <xf numFmtId="0" fontId="73" fillId="0" borderId="14" xfId="0" applyFont="1" applyBorder="1" applyAlignment="1">
      <alignment vertical="center" wrapText="1"/>
    </xf>
    <xf numFmtId="0" fontId="83" fillId="0" borderId="24" xfId="0" applyFont="1" applyBorder="1" applyAlignment="1">
      <alignment horizontal="center" wrapText="1"/>
    </xf>
    <xf numFmtId="0" fontId="84" fillId="0" borderId="24" xfId="0" applyFont="1" applyBorder="1" applyAlignment="1">
      <alignment wrapText="1"/>
    </xf>
    <xf numFmtId="0" fontId="85" fillId="0" borderId="24" xfId="0" applyFont="1" applyBorder="1" applyAlignment="1">
      <alignment wrapText="1"/>
    </xf>
    <xf numFmtId="0" fontId="24" fillId="4" borderId="14" xfId="0" applyFont="1" applyFill="1" applyBorder="1" applyAlignment="1">
      <alignment horizontal="center" vertical="center" wrapText="1"/>
    </xf>
    <xf numFmtId="0" fontId="24" fillId="4" borderId="69" xfId="0" applyFont="1" applyFill="1" applyBorder="1" applyAlignment="1">
      <alignment horizontal="center" wrapText="1"/>
    </xf>
    <xf numFmtId="0" fontId="45" fillId="0" borderId="52" xfId="0" applyFont="1" applyBorder="1" applyAlignment="1">
      <alignment horizontal="left" wrapText="1"/>
    </xf>
    <xf numFmtId="0" fontId="78" fillId="0" borderId="52" xfId="0" applyFont="1" applyBorder="1" applyAlignment="1">
      <alignment horizontal="center" vertical="center"/>
    </xf>
    <xf numFmtId="0" fontId="3" fillId="0" borderId="52" xfId="1" applyFont="1" applyBorder="1" applyAlignment="1">
      <alignment horizontal="center"/>
    </xf>
    <xf numFmtId="0" fontId="29" fillId="0" borderId="52" xfId="0" applyFont="1" applyBorder="1" applyAlignment="1">
      <alignment horizontal="center" vertical="center"/>
    </xf>
    <xf numFmtId="9" fontId="67" fillId="7" borderId="130" xfId="2" applyFont="1" applyFill="1" applyBorder="1" applyAlignment="1">
      <alignment horizontal="center" vertical="center"/>
    </xf>
    <xf numFmtId="9" fontId="67" fillId="7" borderId="24" xfId="2" applyFont="1" applyFill="1" applyBorder="1" applyAlignment="1">
      <alignment horizontal="center" vertical="center"/>
    </xf>
    <xf numFmtId="0" fontId="57" fillId="7" borderId="192" xfId="3" applyFont="1" applyFill="1" applyBorder="1" applyAlignment="1">
      <alignment horizontal="center" vertical="center"/>
    </xf>
    <xf numFmtId="1" fontId="57" fillId="7" borderId="192" xfId="3" applyNumberFormat="1" applyFont="1" applyFill="1" applyBorder="1" applyAlignment="1">
      <alignment horizontal="center" vertical="center"/>
    </xf>
    <xf numFmtId="0" fontId="62" fillId="7" borderId="168" xfId="0" applyFont="1" applyFill="1" applyBorder="1" applyAlignment="1">
      <alignment horizontal="center" vertical="center" wrapText="1"/>
    </xf>
    <xf numFmtId="0" fontId="62" fillId="7" borderId="169" xfId="0" applyFont="1" applyFill="1" applyBorder="1" applyAlignment="1">
      <alignment horizontal="center" vertical="center" wrapText="1"/>
    </xf>
    <xf numFmtId="0" fontId="66" fillId="7" borderId="172" xfId="3" applyFont="1" applyFill="1" applyBorder="1" applyAlignment="1">
      <alignment horizontal="center" vertical="center" textRotation="90" wrapText="1"/>
    </xf>
    <xf numFmtId="0" fontId="66" fillId="7" borderId="173" xfId="3" applyFont="1" applyFill="1" applyBorder="1" applyAlignment="1">
      <alignment horizontal="center" vertical="center" textRotation="90" wrapText="1"/>
    </xf>
    <xf numFmtId="0" fontId="66" fillId="7" borderId="174" xfId="3" applyFont="1" applyFill="1" applyBorder="1" applyAlignment="1">
      <alignment horizontal="center" vertical="center" textRotation="90" wrapText="1"/>
    </xf>
    <xf numFmtId="0" fontId="66" fillId="7" borderId="41" xfId="3" applyFont="1" applyFill="1" applyBorder="1" applyAlignment="1">
      <alignment horizontal="center" vertical="center" textRotation="90" wrapText="1"/>
    </xf>
    <xf numFmtId="0" fontId="66" fillId="7" borderId="24" xfId="3" applyFont="1" applyFill="1" applyAlignment="1">
      <alignment horizontal="center" vertical="center" textRotation="90" wrapText="1"/>
    </xf>
    <xf numFmtId="0" fontId="66" fillId="7" borderId="63" xfId="3" applyFont="1" applyFill="1" applyBorder="1" applyAlignment="1">
      <alignment horizontal="center" vertical="center" textRotation="90" wrapText="1"/>
    </xf>
    <xf numFmtId="0" fontId="66" fillId="7" borderId="42" xfId="3" applyFont="1" applyFill="1" applyBorder="1" applyAlignment="1">
      <alignment horizontal="center" vertical="center" textRotation="90" wrapText="1"/>
    </xf>
    <xf numFmtId="0" fontId="66" fillId="7" borderId="51" xfId="3" applyFont="1" applyFill="1" applyBorder="1" applyAlignment="1">
      <alignment horizontal="center" vertical="center" textRotation="90" wrapText="1"/>
    </xf>
    <xf numFmtId="0" fontId="66" fillId="7" borderId="71" xfId="3" applyFont="1" applyFill="1" applyBorder="1" applyAlignment="1">
      <alignment horizontal="center" vertical="center" textRotation="90" wrapText="1"/>
    </xf>
    <xf numFmtId="0" fontId="16" fillId="0" borderId="183" xfId="3" applyFont="1" applyBorder="1" applyAlignment="1">
      <alignment horizontal="center" vertical="center" wrapText="1"/>
    </xf>
    <xf numFmtId="0" fontId="16" fillId="0" borderId="184" xfId="3" applyFont="1" applyBorder="1" applyAlignment="1">
      <alignment horizontal="center" vertical="center" wrapText="1"/>
    </xf>
    <xf numFmtId="0" fontId="16" fillId="0" borderId="185" xfId="3" applyFont="1" applyBorder="1" applyAlignment="1">
      <alignment horizontal="center" vertical="center" wrapText="1"/>
    </xf>
    <xf numFmtId="0" fontId="55" fillId="0" borderId="119" xfId="3" applyFont="1" applyBorder="1" applyAlignment="1">
      <alignment horizontal="center" vertical="center" wrapText="1"/>
    </xf>
    <xf numFmtId="0" fontId="55" fillId="0" borderId="120" xfId="3" applyFont="1" applyBorder="1" applyAlignment="1">
      <alignment horizontal="center" vertical="center" wrapText="1"/>
    </xf>
    <xf numFmtId="0" fontId="55" fillId="0" borderId="121" xfId="3" applyFont="1" applyBorder="1" applyAlignment="1">
      <alignment horizontal="center" vertical="center" wrapText="1"/>
    </xf>
    <xf numFmtId="0" fontId="55" fillId="7" borderId="24" xfId="3" applyFont="1" applyFill="1" applyAlignment="1">
      <alignment horizontal="center" vertical="center" wrapText="1"/>
    </xf>
    <xf numFmtId="0" fontId="55" fillId="7" borderId="133" xfId="3" applyFont="1" applyFill="1" applyBorder="1" applyAlignment="1">
      <alignment horizontal="center" vertical="center" wrapText="1"/>
    </xf>
    <xf numFmtId="0" fontId="55" fillId="7" borderId="134" xfId="3" applyFont="1" applyFill="1" applyBorder="1" applyAlignment="1">
      <alignment horizontal="center" vertical="center" wrapText="1"/>
    </xf>
    <xf numFmtId="0" fontId="55" fillId="7" borderId="135" xfId="3" applyFont="1" applyFill="1" applyBorder="1" applyAlignment="1">
      <alignment horizontal="center" vertical="center" wrapText="1"/>
    </xf>
    <xf numFmtId="0" fontId="62" fillId="7" borderId="127" xfId="0" applyFont="1" applyFill="1" applyBorder="1" applyAlignment="1">
      <alignment horizontal="center" vertical="center" wrapText="1"/>
    </xf>
    <xf numFmtId="0" fontId="62" fillId="7" borderId="84" xfId="0" applyFont="1" applyFill="1" applyBorder="1" applyAlignment="1">
      <alignment horizontal="center" vertical="center" wrapText="1"/>
    </xf>
    <xf numFmtId="0" fontId="60" fillId="7" borderId="26" xfId="3" applyFont="1" applyFill="1" applyBorder="1" applyAlignment="1">
      <alignment horizontal="center" vertical="center" textRotation="90"/>
    </xf>
    <xf numFmtId="0" fontId="60" fillId="7" borderId="53" xfId="3" applyFont="1" applyFill="1" applyBorder="1" applyAlignment="1">
      <alignment horizontal="center" vertical="center" textRotation="90"/>
    </xf>
    <xf numFmtId="0" fontId="60" fillId="7" borderId="108" xfId="3" applyFont="1" applyFill="1" applyBorder="1" applyAlignment="1">
      <alignment horizontal="center" vertical="center" textRotation="90"/>
    </xf>
    <xf numFmtId="0" fontId="61" fillId="7" borderId="26" xfId="3" applyFont="1" applyFill="1" applyBorder="1" applyAlignment="1">
      <alignment horizontal="center" vertical="center" textRotation="90" wrapText="1"/>
    </xf>
    <xf numFmtId="0" fontId="61" fillId="7" borderId="53" xfId="3" applyFont="1" applyFill="1" applyBorder="1" applyAlignment="1">
      <alignment horizontal="center" vertical="center" textRotation="90" wrapText="1"/>
    </xf>
    <xf numFmtId="0" fontId="61" fillId="7" borderId="27" xfId="3" applyFont="1" applyFill="1" applyBorder="1" applyAlignment="1">
      <alignment horizontal="center" vertical="center" textRotation="90" wrapText="1"/>
    </xf>
    <xf numFmtId="0" fontId="53" fillId="7" borderId="24" xfId="3" applyFill="1" applyAlignment="1">
      <alignment horizontal="center" vertical="center"/>
    </xf>
    <xf numFmtId="0" fontId="55" fillId="7" borderId="162" xfId="3" applyFont="1" applyFill="1" applyBorder="1" applyAlignment="1">
      <alignment horizontal="center" vertical="center" textRotation="90" wrapText="1"/>
    </xf>
    <xf numFmtId="0" fontId="55" fillId="7" borderId="163" xfId="3" applyFont="1" applyFill="1" applyBorder="1" applyAlignment="1">
      <alignment horizontal="center" vertical="center" textRotation="90" wrapText="1"/>
    </xf>
    <xf numFmtId="0" fontId="55" fillId="7" borderId="164" xfId="3" applyFont="1" applyFill="1" applyBorder="1" applyAlignment="1">
      <alignment horizontal="center" vertical="center" textRotation="90" wrapText="1"/>
    </xf>
    <xf numFmtId="0" fontId="55" fillId="7" borderId="41" xfId="3" applyFont="1" applyFill="1" applyBorder="1" applyAlignment="1">
      <alignment horizontal="center" vertical="center" textRotation="90" wrapText="1"/>
    </xf>
    <xf numFmtId="0" fontId="55" fillId="7" borderId="24" xfId="3" applyFont="1" applyFill="1" applyAlignment="1">
      <alignment horizontal="center" vertical="center" textRotation="90" wrapText="1"/>
    </xf>
    <xf numFmtId="0" fontId="55" fillId="7" borderId="63" xfId="3" applyFont="1" applyFill="1" applyBorder="1" applyAlignment="1">
      <alignment horizontal="center" vertical="center" textRotation="90" wrapText="1"/>
    </xf>
    <xf numFmtId="0" fontId="55" fillId="7" borderId="42" xfId="3" applyFont="1" applyFill="1" applyBorder="1" applyAlignment="1">
      <alignment horizontal="center" vertical="center" textRotation="90" wrapText="1"/>
    </xf>
    <xf numFmtId="0" fontId="55" fillId="7" borderId="51" xfId="3" applyFont="1" applyFill="1" applyBorder="1" applyAlignment="1">
      <alignment horizontal="center" vertical="center" textRotation="90" wrapText="1"/>
    </xf>
    <xf numFmtId="0" fontId="55" fillId="7" borderId="71" xfId="3" applyFont="1" applyFill="1" applyBorder="1" applyAlignment="1">
      <alignment horizontal="center" vertical="center" textRotation="90" wrapText="1"/>
    </xf>
    <xf numFmtId="0" fontId="55" fillId="7" borderId="165" xfId="3" applyFont="1" applyFill="1" applyBorder="1" applyAlignment="1">
      <alignment horizontal="center" vertical="top" wrapText="1"/>
    </xf>
    <xf numFmtId="0" fontId="55" fillId="7" borderId="166" xfId="3" applyFont="1" applyFill="1" applyBorder="1" applyAlignment="1">
      <alignment horizontal="center" vertical="top" wrapText="1"/>
    </xf>
    <xf numFmtId="0" fontId="55" fillId="7" borderId="167" xfId="3" applyFont="1" applyFill="1" applyBorder="1" applyAlignment="1">
      <alignment horizontal="center" vertical="top" wrapText="1"/>
    </xf>
    <xf numFmtId="0" fontId="61" fillId="7" borderId="171" xfId="3" applyFont="1" applyFill="1" applyBorder="1" applyAlignment="1">
      <alignment horizontal="center" vertical="center" textRotation="90" wrapText="1"/>
    </xf>
    <xf numFmtId="0" fontId="61" fillId="7" borderId="108" xfId="3" applyFont="1" applyFill="1" applyBorder="1" applyAlignment="1">
      <alignment horizontal="center" vertical="center" textRotation="90" wrapText="1"/>
    </xf>
    <xf numFmtId="9" fontId="56" fillId="7" borderId="69" xfId="2" applyFont="1" applyFill="1" applyBorder="1" applyAlignment="1">
      <alignment horizontal="center" vertical="center"/>
    </xf>
    <xf numFmtId="0" fontId="55" fillId="0" borderId="133" xfId="3" applyFont="1" applyBorder="1" applyAlignment="1">
      <alignment horizontal="center" vertical="center" wrapText="1"/>
    </xf>
    <xf numFmtId="0" fontId="55" fillId="0" borderId="134" xfId="3" applyFont="1" applyBorder="1" applyAlignment="1">
      <alignment horizontal="center" vertical="center" wrapText="1"/>
    </xf>
    <xf numFmtId="0" fontId="55" fillId="0" borderId="135" xfId="3" applyFont="1" applyBorder="1" applyAlignment="1">
      <alignment horizontal="center" vertical="center" wrapText="1"/>
    </xf>
    <xf numFmtId="0" fontId="66" fillId="7" borderId="175" xfId="3" applyFont="1" applyFill="1" applyBorder="1" applyAlignment="1">
      <alignment horizontal="center" vertical="center" textRotation="90" wrapText="1"/>
    </xf>
    <xf numFmtId="0" fontId="66" fillId="7" borderId="132" xfId="3" applyFont="1" applyFill="1" applyBorder="1" applyAlignment="1">
      <alignment horizontal="center" vertical="center" textRotation="90" wrapText="1"/>
    </xf>
    <xf numFmtId="0" fontId="66" fillId="7" borderId="58" xfId="3" applyFont="1" applyFill="1" applyBorder="1" applyAlignment="1">
      <alignment horizontal="center" vertical="center" textRotation="90" wrapText="1"/>
    </xf>
    <xf numFmtId="0" fontId="55" fillId="0" borderId="176" xfId="3" applyFont="1" applyBorder="1" applyAlignment="1">
      <alignment horizontal="center" vertical="center" wrapText="1"/>
    </xf>
    <xf numFmtId="0" fontId="55" fillId="0" borderId="177" xfId="3" applyFont="1" applyBorder="1" applyAlignment="1">
      <alignment horizontal="center" vertical="center" wrapText="1"/>
    </xf>
    <xf numFmtId="0" fontId="55" fillId="0" borderId="178" xfId="3" applyFont="1" applyBorder="1" applyAlignment="1">
      <alignment horizontal="center" vertical="center" wrapText="1"/>
    </xf>
    <xf numFmtId="0" fontId="62" fillId="7" borderId="179" xfId="0" applyFont="1" applyFill="1" applyBorder="1" applyAlignment="1">
      <alignment horizontal="center" vertical="center" wrapText="1"/>
    </xf>
    <xf numFmtId="0" fontId="62" fillId="7" borderId="180" xfId="0" applyFont="1" applyFill="1" applyBorder="1" applyAlignment="1">
      <alignment horizontal="center" vertical="center" wrapText="1"/>
    </xf>
    <xf numFmtId="0" fontId="55" fillId="0" borderId="176" xfId="3" applyFont="1" applyBorder="1" applyAlignment="1">
      <alignment horizontal="center" vertical="top"/>
    </xf>
    <xf numFmtId="0" fontId="55" fillId="0" borderId="177" xfId="3" applyFont="1" applyBorder="1" applyAlignment="1">
      <alignment horizontal="center" vertical="top"/>
    </xf>
    <xf numFmtId="0" fontId="55" fillId="0" borderId="178" xfId="3" applyFont="1" applyBorder="1" applyAlignment="1">
      <alignment horizontal="center" vertical="top"/>
    </xf>
    <xf numFmtId="0" fontId="55" fillId="0" borderId="176" xfId="3" applyFont="1" applyBorder="1" applyAlignment="1">
      <alignment horizontal="center" vertical="top" wrapText="1"/>
    </xf>
    <xf numFmtId="0" fontId="55" fillId="0" borderId="177" xfId="3" applyFont="1" applyBorder="1" applyAlignment="1">
      <alignment horizontal="center" vertical="top" wrapText="1"/>
    </xf>
    <xf numFmtId="0" fontId="55" fillId="0" borderId="178" xfId="3" applyFont="1" applyBorder="1" applyAlignment="1">
      <alignment horizontal="center" vertical="top" wrapText="1"/>
    </xf>
    <xf numFmtId="0" fontId="62" fillId="7" borderId="159" xfId="0" applyFont="1" applyFill="1" applyBorder="1" applyAlignment="1">
      <alignment horizontal="center" vertical="center" wrapText="1"/>
    </xf>
    <xf numFmtId="0" fontId="62" fillId="7" borderId="160" xfId="0" applyFont="1" applyFill="1" applyBorder="1" applyAlignment="1">
      <alignment horizontal="center" vertical="center" wrapText="1"/>
    </xf>
    <xf numFmtId="0" fontId="65" fillId="33" borderId="153" xfId="3" applyFont="1" applyFill="1" applyBorder="1" applyAlignment="1">
      <alignment horizontal="center" vertical="center" textRotation="90" wrapText="1"/>
    </xf>
    <xf numFmtId="0" fontId="65" fillId="33" borderId="154" xfId="3" applyFont="1" applyFill="1" applyBorder="1" applyAlignment="1">
      <alignment horizontal="center" vertical="center" textRotation="90" wrapText="1"/>
    </xf>
    <xf numFmtId="0" fontId="65" fillId="33" borderId="155" xfId="3" applyFont="1" applyFill="1" applyBorder="1" applyAlignment="1">
      <alignment horizontal="center" vertical="center" textRotation="90" wrapText="1"/>
    </xf>
    <xf numFmtId="0" fontId="65" fillId="33" borderId="41" xfId="3" applyFont="1" applyFill="1" applyBorder="1" applyAlignment="1">
      <alignment horizontal="center" vertical="center" textRotation="90" wrapText="1"/>
    </xf>
    <xf numFmtId="0" fontId="65" fillId="33" borderId="24" xfId="3" applyFont="1" applyFill="1" applyAlignment="1">
      <alignment horizontal="center" vertical="center" textRotation="90" wrapText="1"/>
    </xf>
    <xf numFmtId="0" fontId="65" fillId="33" borderId="63" xfId="3" applyFont="1" applyFill="1" applyBorder="1" applyAlignment="1">
      <alignment horizontal="center" vertical="center" textRotation="90" wrapText="1"/>
    </xf>
    <xf numFmtId="0" fontId="65" fillId="33" borderId="42" xfId="3" applyFont="1" applyFill="1" applyBorder="1" applyAlignment="1">
      <alignment horizontal="center" vertical="center" textRotation="90" wrapText="1"/>
    </xf>
    <xf numFmtId="0" fontId="65" fillId="33" borderId="51" xfId="3" applyFont="1" applyFill="1" applyBorder="1" applyAlignment="1">
      <alignment horizontal="center" vertical="center" textRotation="90" wrapText="1"/>
    </xf>
    <xf numFmtId="0" fontId="65" fillId="33" borderId="71" xfId="3" applyFont="1" applyFill="1" applyBorder="1" applyAlignment="1">
      <alignment horizontal="center" vertical="center" textRotation="90" wrapText="1"/>
    </xf>
    <xf numFmtId="0" fontId="55" fillId="7" borderId="156" xfId="3" applyFont="1" applyFill="1" applyBorder="1" applyAlignment="1">
      <alignment horizontal="center" vertical="center" wrapText="1"/>
    </xf>
    <xf numFmtId="0" fontId="55" fillId="7" borderId="157" xfId="3" applyFont="1" applyFill="1" applyBorder="1" applyAlignment="1">
      <alignment horizontal="center" vertical="center" wrapText="1"/>
    </xf>
    <xf numFmtId="0" fontId="55" fillId="7" borderId="158" xfId="3" applyFont="1" applyFill="1" applyBorder="1" applyAlignment="1">
      <alignment horizontal="center" vertical="center" wrapText="1"/>
    </xf>
    <xf numFmtId="0" fontId="55" fillId="7" borderId="119" xfId="3" applyFont="1" applyFill="1" applyBorder="1" applyAlignment="1">
      <alignment horizontal="center" vertical="center" wrapText="1"/>
    </xf>
    <xf numFmtId="0" fontId="55" fillId="7" borderId="120" xfId="3" applyFont="1" applyFill="1" applyBorder="1" applyAlignment="1">
      <alignment horizontal="center" vertical="center" wrapText="1"/>
    </xf>
    <xf numFmtId="0" fontId="55" fillId="7" borderId="121" xfId="3" applyFont="1" applyFill="1" applyBorder="1" applyAlignment="1">
      <alignment horizontal="center" vertical="center" wrapText="1"/>
    </xf>
    <xf numFmtId="0" fontId="55" fillId="34" borderId="153" xfId="3" applyFont="1" applyFill="1" applyBorder="1" applyAlignment="1">
      <alignment horizontal="center" vertical="center" textRotation="90" wrapText="1"/>
    </xf>
    <xf numFmtId="0" fontId="55" fillId="34" borderId="154" xfId="3" applyFont="1" applyFill="1" applyBorder="1" applyAlignment="1">
      <alignment horizontal="center" vertical="center" textRotation="90" wrapText="1"/>
    </xf>
    <xf numFmtId="0" fontId="55" fillId="34" borderId="155" xfId="3" applyFont="1" applyFill="1" applyBorder="1" applyAlignment="1">
      <alignment horizontal="center" vertical="center" textRotation="90" wrapText="1"/>
    </xf>
    <xf numFmtId="0" fontId="55" fillId="34" borderId="41" xfId="3" applyFont="1" applyFill="1" applyBorder="1" applyAlignment="1">
      <alignment horizontal="center" vertical="center" textRotation="90" wrapText="1"/>
    </xf>
    <xf numFmtId="0" fontId="55" fillId="34" borderId="24" xfId="3" applyFont="1" applyFill="1" applyAlignment="1">
      <alignment horizontal="center" vertical="center" textRotation="90" wrapText="1"/>
    </xf>
    <xf numFmtId="0" fontId="55" fillId="34" borderId="63" xfId="3" applyFont="1" applyFill="1" applyBorder="1" applyAlignment="1">
      <alignment horizontal="center" vertical="center" textRotation="90" wrapText="1"/>
    </xf>
    <xf numFmtId="0" fontId="55" fillId="34" borderId="42" xfId="3" applyFont="1" applyFill="1" applyBorder="1" applyAlignment="1">
      <alignment horizontal="center" vertical="center" textRotation="90" wrapText="1"/>
    </xf>
    <xf numFmtId="0" fontId="55" fillId="34" borderId="51" xfId="3" applyFont="1" applyFill="1" applyBorder="1" applyAlignment="1">
      <alignment horizontal="center" vertical="center" textRotation="90" wrapText="1"/>
    </xf>
    <xf numFmtId="0" fontId="55" fillId="34" borderId="71" xfId="3" applyFont="1" applyFill="1" applyBorder="1" applyAlignment="1">
      <alignment horizontal="center" vertical="center" textRotation="90" wrapText="1"/>
    </xf>
    <xf numFmtId="0" fontId="55" fillId="0" borderId="156" xfId="3" applyFont="1" applyBorder="1" applyAlignment="1">
      <alignment horizontal="center" vertical="top" wrapText="1"/>
    </xf>
    <xf numFmtId="0" fontId="55" fillId="0" borderId="157" xfId="3" applyFont="1" applyBorder="1" applyAlignment="1">
      <alignment horizontal="center" vertical="top" wrapText="1"/>
    </xf>
    <xf numFmtId="0" fontId="55" fillId="0" borderId="158" xfId="3" applyFont="1" applyBorder="1" applyAlignment="1">
      <alignment horizontal="center" vertical="top" wrapText="1"/>
    </xf>
    <xf numFmtId="0" fontId="61" fillId="7" borderId="69" xfId="3" applyFont="1" applyFill="1" applyBorder="1" applyAlignment="1">
      <alignment horizontal="center" vertical="center" textRotation="90" wrapText="1"/>
    </xf>
    <xf numFmtId="0" fontId="55" fillId="32" borderId="128" xfId="3" applyFont="1" applyFill="1" applyBorder="1" applyAlignment="1">
      <alignment horizontal="center" vertical="center" textRotation="90" wrapText="1"/>
    </xf>
    <xf numFmtId="0" fontId="55" fillId="32" borderId="130" xfId="3" applyFont="1" applyFill="1" applyBorder="1" applyAlignment="1">
      <alignment horizontal="center" vertical="center" textRotation="90" wrapText="1"/>
    </xf>
    <xf numFmtId="0" fontId="55" fillId="32" borderId="131" xfId="3" applyFont="1" applyFill="1" applyBorder="1" applyAlignment="1">
      <alignment horizontal="center" vertical="center" textRotation="90" wrapText="1"/>
    </xf>
    <xf numFmtId="0" fontId="55" fillId="32" borderId="41" xfId="3" applyFont="1" applyFill="1" applyBorder="1" applyAlignment="1">
      <alignment horizontal="center" vertical="center" textRotation="90" wrapText="1"/>
    </xf>
    <xf numFmtId="0" fontId="55" fillId="32" borderId="24" xfId="3" applyFont="1" applyFill="1" applyAlignment="1">
      <alignment horizontal="center" vertical="center" textRotation="90" wrapText="1"/>
    </xf>
    <xf numFmtId="0" fontId="55" fillId="32" borderId="132" xfId="3" applyFont="1" applyFill="1" applyBorder="1" applyAlignment="1">
      <alignment horizontal="center" vertical="center" textRotation="90" wrapText="1"/>
    </xf>
    <xf numFmtId="0" fontId="55" fillId="32" borderId="42" xfId="3" applyFont="1" applyFill="1" applyBorder="1" applyAlignment="1">
      <alignment horizontal="center" vertical="center" textRotation="90" wrapText="1"/>
    </xf>
    <xf numFmtId="0" fontId="55" fillId="32" borderId="51" xfId="3" applyFont="1" applyFill="1" applyBorder="1" applyAlignment="1">
      <alignment horizontal="center" vertical="center" textRotation="90" wrapText="1"/>
    </xf>
    <xf numFmtId="0" fontId="55" fillId="32" borderId="58" xfId="3" applyFont="1" applyFill="1" applyBorder="1" applyAlignment="1">
      <alignment horizontal="center" vertical="center" textRotation="90" wrapText="1"/>
    </xf>
    <xf numFmtId="0" fontId="63" fillId="7" borderId="128" xfId="3" applyFont="1" applyFill="1" applyBorder="1" applyAlignment="1">
      <alignment horizontal="center" vertical="center" textRotation="90" wrapText="1"/>
    </xf>
    <xf numFmtId="0" fontId="63" fillId="7" borderId="130" xfId="3" applyFont="1" applyFill="1" applyBorder="1" applyAlignment="1">
      <alignment horizontal="center" vertical="center" textRotation="90" wrapText="1"/>
    </xf>
    <xf numFmtId="0" fontId="63" fillId="7" borderId="131" xfId="3" applyFont="1" applyFill="1" applyBorder="1" applyAlignment="1">
      <alignment horizontal="center" vertical="center" textRotation="90" wrapText="1"/>
    </xf>
    <xf numFmtId="0" fontId="63" fillId="7" borderId="41" xfId="3" applyFont="1" applyFill="1" applyBorder="1" applyAlignment="1">
      <alignment horizontal="center" vertical="center" textRotation="90" wrapText="1"/>
    </xf>
    <xf numFmtId="0" fontId="63" fillId="7" borderId="24" xfId="3" applyFont="1" applyFill="1" applyAlignment="1">
      <alignment horizontal="center" vertical="center" textRotation="90" wrapText="1"/>
    </xf>
    <xf numFmtId="0" fontId="63" fillId="7" borderId="132" xfId="3" applyFont="1" applyFill="1" applyBorder="1" applyAlignment="1">
      <alignment horizontal="center" vertical="center" textRotation="90" wrapText="1"/>
    </xf>
    <xf numFmtId="0" fontId="63" fillId="7" borderId="42" xfId="3" applyFont="1" applyFill="1" applyBorder="1" applyAlignment="1">
      <alignment horizontal="center" vertical="center" textRotation="90" wrapText="1"/>
    </xf>
    <xf numFmtId="0" fontId="63" fillId="7" borderId="51" xfId="3" applyFont="1" applyFill="1" applyBorder="1" applyAlignment="1">
      <alignment horizontal="center" vertical="center" textRotation="90" wrapText="1"/>
    </xf>
    <xf numFmtId="0" fontId="63" fillId="7" borderId="58" xfId="3" applyFont="1" applyFill="1" applyBorder="1" applyAlignment="1">
      <alignment horizontal="center" vertical="center" textRotation="90" wrapText="1"/>
    </xf>
    <xf numFmtId="0" fontId="16" fillId="7" borderId="128" xfId="3" applyFont="1" applyFill="1" applyBorder="1" applyAlignment="1">
      <alignment horizontal="center"/>
    </xf>
    <xf numFmtId="0" fontId="16" fillId="7" borderId="130" xfId="3" applyFont="1" applyFill="1" applyBorder="1" applyAlignment="1">
      <alignment horizontal="center"/>
    </xf>
    <xf numFmtId="0" fontId="16" fillId="7" borderId="131" xfId="3" applyFont="1" applyFill="1" applyBorder="1" applyAlignment="1">
      <alignment horizontal="center"/>
    </xf>
    <xf numFmtId="0" fontId="16" fillId="7" borderId="41" xfId="3" applyFont="1" applyFill="1" applyBorder="1" applyAlignment="1">
      <alignment horizontal="center"/>
    </xf>
    <xf numFmtId="0" fontId="16" fillId="7" borderId="24" xfId="3" applyFont="1" applyFill="1" applyAlignment="1">
      <alignment horizontal="center"/>
    </xf>
    <xf numFmtId="0" fontId="16" fillId="7" borderId="132" xfId="3" applyFont="1" applyFill="1" applyBorder="1" applyAlignment="1">
      <alignment horizontal="center"/>
    </xf>
    <xf numFmtId="0" fontId="16" fillId="7" borderId="42" xfId="3" applyFont="1" applyFill="1" applyBorder="1" applyAlignment="1">
      <alignment horizontal="center"/>
    </xf>
    <xf numFmtId="0" fontId="16" fillId="7" borderId="51" xfId="3" applyFont="1" applyFill="1" applyBorder="1" applyAlignment="1">
      <alignment horizontal="center"/>
    </xf>
    <xf numFmtId="0" fontId="16" fillId="7" borderId="58" xfId="3" applyFont="1" applyFill="1" applyBorder="1" applyAlignment="1">
      <alignment horizontal="center"/>
    </xf>
    <xf numFmtId="0" fontId="16" fillId="7" borderId="129" xfId="3" applyFont="1" applyFill="1" applyBorder="1" applyAlignment="1">
      <alignment horizontal="center"/>
    </xf>
    <xf numFmtId="0" fontId="16" fillId="7" borderId="63" xfId="3" applyFont="1" applyFill="1" applyBorder="1" applyAlignment="1">
      <alignment horizontal="center"/>
    </xf>
    <xf numFmtId="0" fontId="16" fillId="7" borderId="71" xfId="3" applyFont="1" applyFill="1" applyBorder="1" applyAlignment="1">
      <alignment horizontal="center"/>
    </xf>
    <xf numFmtId="0" fontId="55" fillId="7" borderId="24" xfId="3" applyFont="1" applyFill="1" applyAlignment="1">
      <alignment horizontal="center" vertical="top" wrapText="1"/>
    </xf>
    <xf numFmtId="0" fontId="55" fillId="30" borderId="139" xfId="3" applyFont="1" applyFill="1" applyBorder="1" applyAlignment="1">
      <alignment horizontal="center" vertical="center" textRotation="90" wrapText="1"/>
    </xf>
    <xf numFmtId="0" fontId="55" fillId="30" borderId="140" xfId="3" applyFont="1" applyFill="1" applyBorder="1" applyAlignment="1">
      <alignment horizontal="center" vertical="center" textRotation="90" wrapText="1"/>
    </xf>
    <xf numFmtId="0" fontId="55" fillId="30" borderId="141" xfId="3" applyFont="1" applyFill="1" applyBorder="1" applyAlignment="1">
      <alignment horizontal="center" vertical="center" textRotation="90" wrapText="1"/>
    </xf>
    <xf numFmtId="0" fontId="55" fillId="30" borderId="41" xfId="3" applyFont="1" applyFill="1" applyBorder="1" applyAlignment="1">
      <alignment horizontal="center" vertical="center" textRotation="90" wrapText="1"/>
    </xf>
    <xf numFmtId="0" fontId="55" fillId="30" borderId="24" xfId="3" applyFont="1" applyFill="1" applyAlignment="1">
      <alignment horizontal="center" vertical="center" textRotation="90" wrapText="1"/>
    </xf>
    <xf numFmtId="0" fontId="55" fillId="30" borderId="63" xfId="3" applyFont="1" applyFill="1" applyBorder="1" applyAlignment="1">
      <alignment horizontal="center" vertical="center" textRotation="90" wrapText="1"/>
    </xf>
    <xf numFmtId="0" fontId="55" fillId="30" borderId="42" xfId="3" applyFont="1" applyFill="1" applyBorder="1" applyAlignment="1">
      <alignment horizontal="center" vertical="center" textRotation="90" wrapText="1"/>
    </xf>
    <xf numFmtId="0" fontId="55" fillId="30" borderId="51" xfId="3" applyFont="1" applyFill="1" applyBorder="1" applyAlignment="1">
      <alignment horizontal="center" vertical="center" textRotation="90" wrapText="1"/>
    </xf>
    <xf numFmtId="0" fontId="55" fillId="30" borderId="71" xfId="3" applyFont="1" applyFill="1" applyBorder="1" applyAlignment="1">
      <alignment horizontal="center" vertical="center" textRotation="90" wrapText="1"/>
    </xf>
    <xf numFmtId="0" fontId="55" fillId="0" borderId="147" xfId="3" applyFont="1" applyBorder="1" applyAlignment="1">
      <alignment horizontal="center" vertical="top" wrapText="1"/>
    </xf>
    <xf numFmtId="0" fontId="55" fillId="0" borderId="148" xfId="3" applyFont="1" applyBorder="1" applyAlignment="1">
      <alignment horizontal="center" vertical="top" wrapText="1"/>
    </xf>
    <xf numFmtId="0" fontId="55" fillId="0" borderId="149" xfId="3" applyFont="1" applyBorder="1" applyAlignment="1">
      <alignment horizontal="center" vertical="top" wrapText="1"/>
    </xf>
    <xf numFmtId="0" fontId="55" fillId="33" borderId="139" xfId="3" applyFont="1" applyFill="1" applyBorder="1" applyAlignment="1">
      <alignment horizontal="center" vertical="center" textRotation="90" wrapText="1"/>
    </xf>
    <xf numFmtId="0" fontId="55" fillId="33" borderId="140" xfId="3" applyFont="1" applyFill="1" applyBorder="1" applyAlignment="1">
      <alignment horizontal="center" vertical="center" textRotation="90" wrapText="1"/>
    </xf>
    <xf numFmtId="0" fontId="55" fillId="33" borderId="141" xfId="3" applyFont="1" applyFill="1" applyBorder="1" applyAlignment="1">
      <alignment horizontal="center" vertical="center" textRotation="90" wrapText="1"/>
    </xf>
    <xf numFmtId="0" fontId="55" fillId="33" borderId="41" xfId="3" applyFont="1" applyFill="1" applyBorder="1" applyAlignment="1">
      <alignment horizontal="center" vertical="center" textRotation="90" wrapText="1"/>
    </xf>
    <xf numFmtId="0" fontId="55" fillId="33" borderId="24" xfId="3" applyFont="1" applyFill="1" applyAlignment="1">
      <alignment horizontal="center" vertical="center" textRotation="90" wrapText="1"/>
    </xf>
    <xf numFmtId="0" fontId="55" fillId="33" borderId="63" xfId="3" applyFont="1" applyFill="1" applyBorder="1" applyAlignment="1">
      <alignment horizontal="center" vertical="center" textRotation="90" wrapText="1"/>
    </xf>
    <xf numFmtId="0" fontId="55" fillId="33" borderId="42" xfId="3" applyFont="1" applyFill="1" applyBorder="1" applyAlignment="1">
      <alignment horizontal="center" vertical="center" textRotation="90" wrapText="1"/>
    </xf>
    <xf numFmtId="0" fontId="55" fillId="33" borderId="51" xfId="3" applyFont="1" applyFill="1" applyBorder="1" applyAlignment="1">
      <alignment horizontal="center" vertical="center" textRotation="90" wrapText="1"/>
    </xf>
    <xf numFmtId="0" fontId="55" fillId="33" borderId="71" xfId="3" applyFont="1" applyFill="1" applyBorder="1" applyAlignment="1">
      <alignment horizontal="center" vertical="center" textRotation="90" wrapText="1"/>
    </xf>
    <xf numFmtId="0" fontId="64" fillId="30" borderId="104" xfId="3" applyFont="1" applyFill="1" applyBorder="1" applyAlignment="1">
      <alignment horizontal="center" vertical="center" textRotation="90" wrapText="1"/>
    </xf>
    <xf numFmtId="0" fontId="64" fillId="30" borderId="105" xfId="3" applyFont="1" applyFill="1" applyBorder="1" applyAlignment="1">
      <alignment horizontal="center" vertical="center" textRotation="90" wrapText="1"/>
    </xf>
    <xf numFmtId="0" fontId="64" fillId="30" borderId="41" xfId="3" applyFont="1" applyFill="1" applyBorder="1" applyAlignment="1">
      <alignment horizontal="center" vertical="center" textRotation="90" wrapText="1"/>
    </xf>
    <xf numFmtId="0" fontId="64" fillId="30" borderId="63" xfId="3" applyFont="1" applyFill="1" applyBorder="1" applyAlignment="1">
      <alignment horizontal="center" vertical="center" textRotation="90" wrapText="1"/>
    </xf>
    <xf numFmtId="0" fontId="64" fillId="30" borderId="42" xfId="3" applyFont="1" applyFill="1" applyBorder="1" applyAlignment="1">
      <alignment horizontal="center" vertical="center" textRotation="90" wrapText="1"/>
    </xf>
    <xf numFmtId="0" fontId="64" fillId="30" borderId="71" xfId="3" applyFont="1" applyFill="1" applyBorder="1" applyAlignment="1">
      <alignment horizontal="center" vertical="center" textRotation="90" wrapText="1"/>
    </xf>
    <xf numFmtId="0" fontId="55" fillId="0" borderId="116" xfId="3" applyFont="1" applyBorder="1" applyAlignment="1">
      <alignment horizontal="center" vertical="center" wrapText="1"/>
    </xf>
    <xf numFmtId="0" fontId="55" fillId="0" borderId="117" xfId="3" applyFont="1" applyBorder="1" applyAlignment="1">
      <alignment horizontal="center" vertical="center" wrapText="1"/>
    </xf>
    <xf numFmtId="0" fontId="55" fillId="0" borderId="118" xfId="3" applyFont="1" applyBorder="1" applyAlignment="1">
      <alignment horizontal="center" vertical="center" wrapText="1"/>
    </xf>
    <xf numFmtId="0" fontId="64" fillId="29" borderId="128" xfId="3" applyFont="1" applyFill="1" applyBorder="1" applyAlignment="1">
      <alignment horizontal="center" vertical="center" textRotation="90" wrapText="1"/>
    </xf>
    <xf numFmtId="0" fontId="64" fillId="29" borderId="129" xfId="3" applyFont="1" applyFill="1" applyBorder="1" applyAlignment="1">
      <alignment horizontal="center" vertical="center" textRotation="90" wrapText="1"/>
    </xf>
    <xf numFmtId="0" fontId="64" fillId="29" borderId="41" xfId="3" applyFont="1" applyFill="1" applyBorder="1" applyAlignment="1">
      <alignment horizontal="center" vertical="center" textRotation="90" wrapText="1"/>
    </xf>
    <xf numFmtId="0" fontId="64" fillId="29" borderId="63" xfId="3" applyFont="1" applyFill="1" applyBorder="1" applyAlignment="1">
      <alignment horizontal="center" vertical="center" textRotation="90" wrapText="1"/>
    </xf>
    <xf numFmtId="0" fontId="64" fillId="29" borderId="42" xfId="3" applyFont="1" applyFill="1" applyBorder="1" applyAlignment="1">
      <alignment horizontal="center" vertical="center" textRotation="90" wrapText="1"/>
    </xf>
    <xf numFmtId="0" fontId="64" fillId="29" borderId="71" xfId="3" applyFont="1" applyFill="1" applyBorder="1" applyAlignment="1">
      <alignment horizontal="center" vertical="center" textRotation="90" wrapText="1"/>
    </xf>
    <xf numFmtId="0" fontId="55" fillId="7" borderId="116" xfId="3" applyFont="1" applyFill="1" applyBorder="1" applyAlignment="1">
      <alignment horizontal="center" vertical="center" wrapText="1"/>
    </xf>
    <xf numFmtId="0" fontId="55" fillId="7" borderId="117" xfId="3" applyFont="1" applyFill="1" applyBorder="1" applyAlignment="1">
      <alignment horizontal="center" vertical="center" wrapText="1"/>
    </xf>
    <xf numFmtId="0" fontId="55" fillId="7" borderId="118" xfId="3" applyFont="1" applyFill="1" applyBorder="1" applyAlignment="1">
      <alignment horizontal="center" vertical="center" wrapText="1"/>
    </xf>
    <xf numFmtId="0" fontId="53" fillId="7" borderId="24" xfId="3" applyFill="1" applyAlignment="1">
      <alignment horizontal="center"/>
    </xf>
    <xf numFmtId="0" fontId="64" fillId="7" borderId="75" xfId="3" applyFont="1" applyFill="1" applyBorder="1" applyAlignment="1">
      <alignment horizontal="center" vertical="center" textRotation="90" wrapText="1"/>
    </xf>
    <xf numFmtId="0" fontId="64" fillId="7" borderId="76" xfId="3" applyFont="1" applyFill="1" applyBorder="1" applyAlignment="1">
      <alignment horizontal="center" vertical="center" textRotation="90" wrapText="1"/>
    </xf>
    <xf numFmtId="0" fontId="64" fillId="7" borderId="77" xfId="3" applyFont="1" applyFill="1" applyBorder="1" applyAlignment="1">
      <alignment horizontal="center" vertical="center" textRotation="90" wrapText="1"/>
    </xf>
    <xf numFmtId="0" fontId="64" fillId="7" borderId="41" xfId="3" applyFont="1" applyFill="1" applyBorder="1" applyAlignment="1">
      <alignment horizontal="center" vertical="center" textRotation="90" wrapText="1"/>
    </xf>
    <xf numFmtId="0" fontId="64" fillId="7" borderId="24" xfId="3" applyFont="1" applyFill="1" applyAlignment="1">
      <alignment horizontal="center" vertical="center" textRotation="90" wrapText="1"/>
    </xf>
    <xf numFmtId="0" fontId="64" fillId="7" borderId="63" xfId="3" applyFont="1" applyFill="1" applyBorder="1" applyAlignment="1">
      <alignment horizontal="center" vertical="center" textRotation="90" wrapText="1"/>
    </xf>
    <xf numFmtId="0" fontId="64" fillId="7" borderId="42" xfId="3" applyFont="1" applyFill="1" applyBorder="1" applyAlignment="1">
      <alignment horizontal="center" vertical="center" textRotation="90" wrapText="1"/>
    </xf>
    <xf numFmtId="0" fontId="64" fillId="7" borderId="51" xfId="3" applyFont="1" applyFill="1" applyBorder="1" applyAlignment="1">
      <alignment horizontal="center" vertical="center" textRotation="90" wrapText="1"/>
    </xf>
    <xf numFmtId="0" fontId="64" fillId="7" borderId="71" xfId="3" applyFont="1" applyFill="1" applyBorder="1" applyAlignment="1">
      <alignment horizontal="center" vertical="center" textRotation="90" wrapText="1"/>
    </xf>
    <xf numFmtId="0" fontId="62" fillId="7" borderId="122" xfId="0" applyFont="1" applyFill="1" applyBorder="1" applyAlignment="1">
      <alignment horizontal="center" vertical="center" wrapText="1"/>
    </xf>
    <xf numFmtId="0" fontId="62" fillId="7" borderId="123" xfId="0" applyFont="1" applyFill="1" applyBorder="1" applyAlignment="1">
      <alignment horizontal="center" vertical="center" wrapText="1"/>
    </xf>
    <xf numFmtId="0" fontId="55" fillId="0" borderId="94" xfId="3" applyFont="1" applyBorder="1" applyAlignment="1">
      <alignment horizontal="center" vertical="center" wrapText="1"/>
    </xf>
    <xf numFmtId="0" fontId="55" fillId="0" borderId="95" xfId="3" applyFont="1" applyBorder="1" applyAlignment="1">
      <alignment horizontal="center" vertical="center" wrapText="1"/>
    </xf>
    <xf numFmtId="0" fontId="55" fillId="0" borderId="96" xfId="3" applyFont="1" applyBorder="1" applyAlignment="1">
      <alignment horizontal="center" vertical="center" wrapText="1"/>
    </xf>
    <xf numFmtId="0" fontId="64" fillId="31" borderId="104" xfId="3" applyFont="1" applyFill="1" applyBorder="1" applyAlignment="1">
      <alignment horizontal="center" vertical="center" textRotation="90" wrapText="1"/>
    </xf>
    <xf numFmtId="0" fontId="64" fillId="31" borderId="105" xfId="3" applyFont="1" applyFill="1" applyBorder="1" applyAlignment="1">
      <alignment horizontal="center" vertical="center" textRotation="90" wrapText="1"/>
    </xf>
    <xf numFmtId="0" fontId="64" fillId="31" borderId="41" xfId="3" applyFont="1" applyFill="1" applyBorder="1" applyAlignment="1">
      <alignment horizontal="center" vertical="center" textRotation="90" wrapText="1"/>
    </xf>
    <xf numFmtId="0" fontId="64" fillId="31" borderId="63" xfId="3" applyFont="1" applyFill="1" applyBorder="1" applyAlignment="1">
      <alignment horizontal="center" vertical="center" textRotation="90" wrapText="1"/>
    </xf>
    <xf numFmtId="0" fontId="64" fillId="31" borderId="42" xfId="3" applyFont="1" applyFill="1" applyBorder="1" applyAlignment="1">
      <alignment horizontal="center" vertical="center" textRotation="90" wrapText="1"/>
    </xf>
    <xf numFmtId="0" fontId="64" fillId="31" borderId="71" xfId="3" applyFont="1" applyFill="1" applyBorder="1" applyAlignment="1">
      <alignment horizontal="center" vertical="center" textRotation="90" wrapText="1"/>
    </xf>
    <xf numFmtId="0" fontId="64" fillId="31" borderId="88" xfId="3" applyFont="1" applyFill="1" applyBorder="1" applyAlignment="1">
      <alignment horizontal="center" vertical="center" textRotation="90" wrapText="1"/>
    </xf>
    <xf numFmtId="0" fontId="64" fillId="31" borderId="90" xfId="3" applyFont="1" applyFill="1" applyBorder="1" applyAlignment="1">
      <alignment horizontal="center" vertical="center" textRotation="90" wrapText="1"/>
    </xf>
    <xf numFmtId="0" fontId="64" fillId="7" borderId="24" xfId="3" applyFont="1" applyFill="1" applyAlignment="1">
      <alignment horizontal="center" vertical="center" wrapText="1"/>
    </xf>
    <xf numFmtId="0" fontId="55" fillId="0" borderId="94" xfId="3" applyFont="1" applyBorder="1" applyAlignment="1">
      <alignment horizontal="center" vertical="top" wrapText="1"/>
    </xf>
    <xf numFmtId="0" fontId="55" fillId="0" borderId="95" xfId="3" applyFont="1" applyBorder="1" applyAlignment="1">
      <alignment horizontal="center" vertical="top" wrapText="1"/>
    </xf>
    <xf numFmtId="0" fontId="55" fillId="0" borderId="96" xfId="3" applyFont="1" applyBorder="1" applyAlignment="1">
      <alignment horizontal="center" vertical="top" wrapText="1"/>
    </xf>
    <xf numFmtId="0" fontId="55" fillId="7" borderId="94" xfId="3" applyFont="1" applyFill="1" applyBorder="1" applyAlignment="1">
      <alignment horizontal="center" vertical="top" wrapText="1"/>
    </xf>
    <xf numFmtId="0" fontId="55" fillId="7" borderId="95" xfId="3" applyFont="1" applyFill="1" applyBorder="1" applyAlignment="1">
      <alignment horizontal="center" vertical="top" wrapText="1"/>
    </xf>
    <xf numFmtId="0" fontId="55" fillId="7" borderId="96" xfId="3" applyFont="1" applyFill="1" applyBorder="1" applyAlignment="1">
      <alignment horizontal="center" vertical="top" wrapText="1"/>
    </xf>
    <xf numFmtId="0" fontId="62" fillId="7" borderId="97" xfId="0" applyFont="1" applyFill="1" applyBorder="1" applyAlignment="1">
      <alignment horizontal="center" vertical="center" wrapText="1"/>
    </xf>
    <xf numFmtId="0" fontId="62" fillId="7" borderId="98" xfId="0" applyFont="1" applyFill="1" applyBorder="1" applyAlignment="1">
      <alignment horizontal="center" vertical="center" wrapText="1"/>
    </xf>
    <xf numFmtId="0" fontId="62" fillId="7" borderId="136" xfId="0" applyFont="1" applyFill="1" applyBorder="1" applyAlignment="1">
      <alignment horizontal="center" vertical="center" wrapText="1"/>
    </xf>
    <xf numFmtId="0" fontId="62" fillId="7" borderId="137" xfId="0" applyFont="1" applyFill="1" applyBorder="1" applyAlignment="1">
      <alignment horizontal="center" vertical="center" wrapText="1"/>
    </xf>
    <xf numFmtId="0" fontId="62" fillId="7" borderId="150" xfId="0" applyFont="1" applyFill="1" applyBorder="1" applyAlignment="1">
      <alignment horizontal="center" vertical="center" wrapText="1"/>
    </xf>
    <xf numFmtId="0" fontId="62" fillId="7" borderId="151" xfId="0" applyFont="1" applyFill="1" applyBorder="1" applyAlignment="1">
      <alignment horizontal="center" vertical="center" wrapText="1"/>
    </xf>
    <xf numFmtId="0" fontId="62" fillId="7" borderId="99" xfId="0" applyFont="1" applyFill="1" applyBorder="1" applyAlignment="1">
      <alignment horizontal="center" vertical="center" wrapText="1"/>
    </xf>
    <xf numFmtId="0" fontId="61" fillId="7" borderId="103" xfId="3" applyFont="1" applyFill="1" applyBorder="1" applyAlignment="1">
      <alignment horizontal="center" vertical="center" textRotation="90" wrapText="1"/>
    </xf>
    <xf numFmtId="0" fontId="55" fillId="7" borderId="103" xfId="3" applyFont="1" applyFill="1" applyBorder="1" applyAlignment="1">
      <alignment horizontal="center" vertical="center" textRotation="90" wrapText="1"/>
    </xf>
    <xf numFmtId="0" fontId="55" fillId="7" borderId="53" xfId="3" applyFont="1" applyFill="1" applyBorder="1" applyAlignment="1">
      <alignment horizontal="center" vertical="center" textRotation="90" wrapText="1"/>
    </xf>
    <xf numFmtId="0" fontId="55" fillId="7" borderId="108" xfId="3" applyFont="1" applyFill="1" applyBorder="1" applyAlignment="1">
      <alignment horizontal="center" vertical="center" textRotation="90" wrapText="1"/>
    </xf>
    <xf numFmtId="0" fontId="64" fillId="28" borderId="104" xfId="3" applyFont="1" applyFill="1" applyBorder="1" applyAlignment="1">
      <alignment horizontal="center" vertical="center" textRotation="90" wrapText="1"/>
    </xf>
    <xf numFmtId="0" fontId="64" fillId="28" borderId="105" xfId="3" applyFont="1" applyFill="1" applyBorder="1" applyAlignment="1">
      <alignment horizontal="center" vertical="center" textRotation="90" wrapText="1"/>
    </xf>
    <xf numFmtId="0" fontId="64" fillId="28" borderId="41" xfId="3" applyFont="1" applyFill="1" applyBorder="1" applyAlignment="1">
      <alignment horizontal="center" vertical="center" textRotation="90" wrapText="1"/>
    </xf>
    <xf numFmtId="0" fontId="64" fillId="28" borderId="63" xfId="3" applyFont="1" applyFill="1" applyBorder="1" applyAlignment="1">
      <alignment horizontal="center" vertical="center" textRotation="90" wrapText="1"/>
    </xf>
    <xf numFmtId="0" fontId="64" fillId="28" borderId="42" xfId="3" applyFont="1" applyFill="1" applyBorder="1" applyAlignment="1">
      <alignment horizontal="center" vertical="center" textRotation="90" wrapText="1"/>
    </xf>
    <xf numFmtId="0" fontId="64" fillId="28" borderId="71" xfId="3" applyFont="1" applyFill="1" applyBorder="1" applyAlignment="1">
      <alignment horizontal="center" vertical="center" textRotation="90" wrapText="1"/>
    </xf>
    <xf numFmtId="0" fontId="64" fillId="29" borderId="88" xfId="3" applyFont="1" applyFill="1" applyBorder="1" applyAlignment="1">
      <alignment horizontal="center" vertical="center" textRotation="90" wrapText="1"/>
    </xf>
    <xf numFmtId="0" fontId="64" fillId="29" borderId="90" xfId="3" applyFont="1" applyFill="1" applyBorder="1" applyAlignment="1">
      <alignment horizontal="center" vertical="center" textRotation="90" wrapText="1"/>
    </xf>
    <xf numFmtId="0" fontId="55" fillId="7" borderId="109" xfId="3" applyFont="1" applyFill="1" applyBorder="1" applyAlignment="1">
      <alignment horizontal="center" vertical="center" textRotation="90" wrapText="1"/>
    </xf>
    <xf numFmtId="0" fontId="64" fillId="30" borderId="88" xfId="3" applyFont="1" applyFill="1" applyBorder="1" applyAlignment="1">
      <alignment horizontal="center" vertical="center" textRotation="90" wrapText="1"/>
    </xf>
    <xf numFmtId="0" fontId="64" fillId="30" borderId="90" xfId="3" applyFont="1" applyFill="1" applyBorder="1" applyAlignment="1">
      <alignment horizontal="center" vertical="center" textRotation="90" wrapText="1"/>
    </xf>
    <xf numFmtId="0" fontId="55" fillId="0" borderId="81" xfId="3" applyFont="1" applyBorder="1" applyAlignment="1">
      <alignment horizontal="center" vertical="top" wrapText="1"/>
    </xf>
    <xf numFmtId="0" fontId="55" fillId="0" borderId="82" xfId="3" applyFont="1" applyBorder="1" applyAlignment="1">
      <alignment horizontal="center" vertical="top" wrapText="1"/>
    </xf>
    <xf numFmtId="0" fontId="55" fillId="0" borderId="83" xfId="3" applyFont="1" applyBorder="1" applyAlignment="1">
      <alignment horizontal="center" vertical="top" wrapText="1"/>
    </xf>
    <xf numFmtId="0" fontId="55" fillId="7" borderId="81" xfId="3" applyFont="1" applyFill="1" applyBorder="1" applyAlignment="1">
      <alignment horizontal="center" vertical="center" wrapText="1"/>
    </xf>
    <xf numFmtId="0" fontId="55" fillId="7" borderId="82" xfId="3" applyFont="1" applyFill="1" applyBorder="1" applyAlignment="1">
      <alignment horizontal="center" vertical="center" wrapText="1"/>
    </xf>
    <xf numFmtId="0" fontId="55" fillId="7" borderId="83" xfId="3" applyFont="1" applyFill="1" applyBorder="1" applyAlignment="1">
      <alignment horizontal="center" vertical="center" wrapText="1"/>
    </xf>
    <xf numFmtId="0" fontId="62" fillId="7" borderId="85" xfId="0" applyFont="1" applyFill="1" applyBorder="1" applyAlignment="1">
      <alignment horizontal="center" vertical="center" wrapText="1"/>
    </xf>
    <xf numFmtId="9" fontId="56" fillId="7" borderId="65" xfId="2" applyFont="1" applyFill="1" applyBorder="1" applyAlignment="1">
      <alignment horizontal="center" vertical="center"/>
    </xf>
    <xf numFmtId="0" fontId="55" fillId="0" borderId="59" xfId="3" applyFont="1" applyBorder="1" applyAlignment="1">
      <alignment horizontal="center" vertical="top" wrapText="1"/>
    </xf>
    <xf numFmtId="0" fontId="55" fillId="0" borderId="50" xfId="3" applyFont="1" applyBorder="1" applyAlignment="1">
      <alignment horizontal="center" vertical="top" wrapText="1"/>
    </xf>
    <xf numFmtId="0" fontId="55" fillId="0" borderId="43" xfId="3" applyFont="1" applyBorder="1" applyAlignment="1">
      <alignment horizontal="center" vertical="top" wrapText="1"/>
    </xf>
    <xf numFmtId="0" fontId="55" fillId="0" borderId="59" xfId="3" applyFont="1" applyBorder="1" applyAlignment="1">
      <alignment horizontal="center" vertical="center" wrapText="1"/>
    </xf>
    <xf numFmtId="0" fontId="55" fillId="0" borderId="50" xfId="3" applyFont="1" applyBorder="1" applyAlignment="1">
      <alignment horizontal="center" vertical="center" wrapText="1"/>
    </xf>
    <xf numFmtId="0" fontId="55" fillId="0" borderId="43" xfId="3" applyFont="1" applyBorder="1" applyAlignment="1">
      <alignment horizontal="center" vertical="center" wrapText="1"/>
    </xf>
    <xf numFmtId="0" fontId="62" fillId="7" borderId="66" xfId="0" applyFont="1" applyFill="1" applyBorder="1" applyAlignment="1">
      <alignment horizontal="center" vertical="center" wrapText="1"/>
    </xf>
    <xf numFmtId="0" fontId="62" fillId="7" borderId="67" xfId="0" applyFont="1" applyFill="1" applyBorder="1" applyAlignment="1">
      <alignment horizontal="center" vertical="center" wrapText="1"/>
    </xf>
    <xf numFmtId="0" fontId="62" fillId="7" borderId="68" xfId="0" applyFont="1" applyFill="1" applyBorder="1" applyAlignment="1">
      <alignment horizontal="center" vertical="center" wrapText="1"/>
    </xf>
    <xf numFmtId="0" fontId="64" fillId="7" borderId="88" xfId="3" applyFont="1" applyFill="1" applyBorder="1" applyAlignment="1">
      <alignment horizontal="center" vertical="center" textRotation="90" wrapText="1"/>
    </xf>
    <xf numFmtId="0" fontId="64" fillId="7" borderId="89" xfId="3" applyFont="1" applyFill="1" applyBorder="1" applyAlignment="1">
      <alignment horizontal="center" vertical="center" textRotation="90" wrapText="1"/>
    </xf>
    <xf numFmtId="0" fontId="64" fillId="7" borderId="90" xfId="3" applyFont="1" applyFill="1" applyBorder="1" applyAlignment="1">
      <alignment horizontal="center" vertical="center" textRotation="90" wrapText="1"/>
    </xf>
    <xf numFmtId="0" fontId="57" fillId="7" borderId="56" xfId="3" applyFont="1" applyFill="1" applyBorder="1" applyAlignment="1">
      <alignment horizontal="center" vertical="center"/>
    </xf>
    <xf numFmtId="0" fontId="62" fillId="7" borderId="86" xfId="0" applyFont="1" applyFill="1" applyBorder="1" applyAlignment="1">
      <alignment horizontal="center" vertical="center" wrapText="1"/>
    </xf>
    <xf numFmtId="49" fontId="55" fillId="7" borderId="55" xfId="3" applyNumberFormat="1" applyFont="1" applyFill="1" applyBorder="1" applyAlignment="1">
      <alignment horizontal="center" vertical="center"/>
    </xf>
    <xf numFmtId="49" fontId="55" fillId="7" borderId="56" xfId="3" applyNumberFormat="1" applyFont="1" applyFill="1" applyBorder="1" applyAlignment="1">
      <alignment horizontal="center" vertical="center"/>
    </xf>
    <xf numFmtId="49" fontId="55" fillId="7" borderId="57" xfId="3" applyNumberFormat="1" applyFont="1" applyFill="1" applyBorder="1" applyAlignment="1">
      <alignment horizontal="center" vertical="center"/>
    </xf>
    <xf numFmtId="0" fontId="54" fillId="7" borderId="40" xfId="3" applyFont="1" applyFill="1" applyBorder="1" applyAlignment="1">
      <alignment horizontal="center" vertical="center" textRotation="46"/>
    </xf>
    <xf numFmtId="0" fontId="54" fillId="7" borderId="54" xfId="3" applyFont="1" applyFill="1" applyBorder="1" applyAlignment="1">
      <alignment horizontal="center" vertical="center" textRotation="46"/>
    </xf>
    <xf numFmtId="0" fontId="54" fillId="7" borderId="42" xfId="3" applyFont="1" applyFill="1" applyBorder="1" applyAlignment="1">
      <alignment horizontal="center" vertical="center" textRotation="46"/>
    </xf>
    <xf numFmtId="0" fontId="54" fillId="7" borderId="58" xfId="3" applyFont="1" applyFill="1" applyBorder="1" applyAlignment="1">
      <alignment horizontal="center" vertical="center" textRotation="46"/>
    </xf>
    <xf numFmtId="0" fontId="54" fillId="7" borderId="25" xfId="3" applyFont="1" applyFill="1" applyBorder="1" applyAlignment="1">
      <alignment horizontal="center" vertical="center" wrapText="1"/>
    </xf>
    <xf numFmtId="0" fontId="55" fillId="7" borderId="25" xfId="3" applyFont="1" applyFill="1" applyBorder="1" applyAlignment="1">
      <alignment horizontal="center" vertical="center"/>
    </xf>
    <xf numFmtId="0" fontId="55" fillId="7" borderId="59" xfId="3" applyFont="1" applyFill="1" applyBorder="1" applyAlignment="1">
      <alignment horizontal="center" vertical="center"/>
    </xf>
    <xf numFmtId="0" fontId="57" fillId="7" borderId="60" xfId="3" applyFont="1" applyFill="1" applyBorder="1" applyAlignment="1">
      <alignment horizontal="center" vertical="center"/>
    </xf>
    <xf numFmtId="0" fontId="57" fillId="7" borderId="57" xfId="3" applyFont="1" applyFill="1" applyBorder="1" applyAlignment="1">
      <alignment horizontal="center" vertical="center"/>
    </xf>
    <xf numFmtId="0" fontId="2" fillId="0" borderId="69" xfId="0" applyFont="1" applyBorder="1" applyAlignment="1">
      <alignment horizontal="left" vertical="center" wrapText="1"/>
    </xf>
    <xf numFmtId="0" fontId="73" fillId="0" borderId="234" xfId="0" applyFont="1" applyBorder="1" applyAlignment="1">
      <alignment horizontal="center" vertical="center" wrapText="1"/>
    </xf>
    <xf numFmtId="0" fontId="73" fillId="0" borderId="53" xfId="0" applyFont="1" applyBorder="1" applyAlignment="1">
      <alignment horizontal="center" vertical="center" wrapText="1"/>
    </xf>
    <xf numFmtId="0" fontId="25" fillId="0" borderId="69" xfId="0" applyFont="1" applyBorder="1" applyAlignment="1">
      <alignment horizontal="center" vertical="center" wrapText="1"/>
    </xf>
    <xf numFmtId="0" fontId="38" fillId="0" borderId="18" xfId="0" applyFont="1" applyBorder="1" applyAlignment="1">
      <alignment horizontal="center" vertical="center" wrapText="1"/>
    </xf>
    <xf numFmtId="0" fontId="38" fillId="0" borderId="10" xfId="0" applyFont="1" applyBorder="1" applyAlignment="1">
      <alignment horizontal="center" vertical="center" wrapText="1"/>
    </xf>
    <xf numFmtId="0" fontId="38" fillId="0" borderId="16" xfId="0" applyFont="1" applyBorder="1" applyAlignment="1">
      <alignment horizontal="center" vertical="center" wrapText="1"/>
    </xf>
    <xf numFmtId="0" fontId="2" fillId="0" borderId="69" xfId="0" applyFont="1" applyBorder="1" applyAlignment="1">
      <alignment horizontal="center" vertical="center" wrapText="1"/>
    </xf>
    <xf numFmtId="0" fontId="73" fillId="0" borderId="69" xfId="0" applyFont="1" applyBorder="1" applyAlignment="1">
      <alignment horizontal="center" vertical="center" wrapText="1"/>
    </xf>
    <xf numFmtId="0" fontId="25" fillId="0" borderId="69" xfId="0" applyFont="1" applyBorder="1" applyAlignment="1">
      <alignment horizontal="left" vertical="center" wrapText="1"/>
    </xf>
    <xf numFmtId="0" fontId="25" fillId="0" borderId="234" xfId="0" applyFont="1" applyBorder="1" applyAlignment="1">
      <alignment horizontal="left" vertical="center" wrapText="1"/>
    </xf>
    <xf numFmtId="0" fontId="38" fillId="0" borderId="9" xfId="0" applyFont="1" applyBorder="1" applyAlignment="1">
      <alignment horizontal="center" vertical="center" wrapText="1"/>
    </xf>
    <xf numFmtId="0" fontId="73" fillId="0" borderId="18" xfId="0" applyFont="1" applyBorder="1" applyAlignment="1">
      <alignment horizontal="left" vertical="center" wrapText="1"/>
    </xf>
    <xf numFmtId="0" fontId="73" fillId="0" borderId="10" xfId="0" applyFont="1" applyBorder="1" applyAlignment="1">
      <alignment horizontal="left" vertical="center" wrapText="1"/>
    </xf>
    <xf numFmtId="0" fontId="73" fillId="0" borderId="16" xfId="0" applyFont="1" applyBorder="1" applyAlignment="1">
      <alignment horizontal="left" vertical="center" wrapText="1"/>
    </xf>
    <xf numFmtId="0" fontId="5" fillId="0" borderId="9" xfId="0" applyFont="1" applyBorder="1" applyAlignment="1">
      <alignment horizontal="center" vertical="center" wrapText="1"/>
    </xf>
    <xf numFmtId="0" fontId="26" fillId="0" borderId="9" xfId="0" applyFont="1" applyBorder="1" applyAlignment="1">
      <alignment horizontal="center" vertical="center" wrapText="1"/>
    </xf>
    <xf numFmtId="0" fontId="38" fillId="0" borderId="69" xfId="0" applyFont="1" applyBorder="1" applyAlignment="1">
      <alignment horizontal="center" vertical="center" wrapText="1"/>
    </xf>
    <xf numFmtId="0" fontId="38" fillId="0" borderId="234" xfId="0" applyFont="1" applyBorder="1" applyAlignment="1">
      <alignment horizontal="center" vertical="center" wrapText="1"/>
    </xf>
    <xf numFmtId="0" fontId="38" fillId="0" borderId="53" xfId="0" applyFont="1" applyBorder="1" applyAlignment="1">
      <alignment horizontal="center" vertical="center" wrapText="1"/>
    </xf>
    <xf numFmtId="0" fontId="38" fillId="0" borderId="108" xfId="0" applyFont="1" applyBorder="1" applyAlignment="1">
      <alignment horizontal="center" vertical="center" wrapText="1"/>
    </xf>
    <xf numFmtId="0" fontId="25" fillId="0" borderId="234" xfId="0" applyFont="1" applyBorder="1" applyAlignment="1">
      <alignment horizontal="center" vertical="center" wrapText="1"/>
    </xf>
    <xf numFmtId="0" fontId="25" fillId="0" borderId="53" xfId="0" applyFont="1" applyBorder="1" applyAlignment="1">
      <alignment horizontal="center" vertical="center" wrapText="1"/>
    </xf>
    <xf numFmtId="0" fontId="25" fillId="0" borderId="108"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24" xfId="0" applyFont="1" applyBorder="1" applyAlignment="1">
      <alignment horizontal="center" vertical="center" wrapText="1"/>
    </xf>
    <xf numFmtId="0" fontId="2" fillId="0" borderId="69" xfId="0" applyFont="1" applyBorder="1" applyAlignment="1">
      <alignment horizontal="center" wrapText="1"/>
    </xf>
    <xf numFmtId="0" fontId="82" fillId="0" borderId="69" xfId="0" applyFont="1" applyBorder="1" applyAlignment="1">
      <alignment horizontal="center" vertical="center" wrapText="1"/>
    </xf>
    <xf numFmtId="0" fontId="25" fillId="0" borderId="234" xfId="0" applyFont="1" applyBorder="1" applyAlignment="1">
      <alignment horizontal="center" vertical="center" wrapText="1" readingOrder="1"/>
    </xf>
    <xf numFmtId="0" fontId="25" fillId="0" borderId="53" xfId="0" applyFont="1" applyBorder="1" applyAlignment="1">
      <alignment horizontal="center" vertical="center" wrapText="1" readingOrder="1"/>
    </xf>
    <xf numFmtId="0" fontId="73" fillId="0" borderId="20" xfId="0" applyFont="1" applyBorder="1" applyAlignment="1">
      <alignment horizontal="center" vertical="center" wrapText="1"/>
    </xf>
    <xf numFmtId="0" fontId="73" fillId="0" borderId="23" xfId="0" applyFont="1" applyBorder="1" applyAlignment="1">
      <alignment horizontal="center" vertical="center" wrapText="1"/>
    </xf>
    <xf numFmtId="0" fontId="73" fillId="0" borderId="13" xfId="0" applyFont="1" applyBorder="1" applyAlignment="1">
      <alignment horizontal="center" vertical="center" wrapText="1"/>
    </xf>
    <xf numFmtId="0" fontId="38" fillId="0" borderId="13" xfId="0" applyFont="1" applyBorder="1" applyAlignment="1">
      <alignment horizontal="center" vertical="center" wrapText="1"/>
    </xf>
    <xf numFmtId="0" fontId="38" fillId="0" borderId="24" xfId="0" applyFont="1" applyBorder="1" applyAlignment="1">
      <alignment horizontal="center" vertical="center" wrapText="1"/>
    </xf>
    <xf numFmtId="0" fontId="11" fillId="0" borderId="25" xfId="0" applyFont="1" applyBorder="1" applyAlignment="1">
      <alignment horizontal="left" wrapText="1"/>
    </xf>
    <xf numFmtId="0" fontId="75" fillId="5" borderId="26" xfId="0" applyFont="1" applyFill="1" applyBorder="1" applyAlignment="1">
      <alignment horizontal="left" vertical="top" wrapText="1"/>
    </xf>
    <xf numFmtId="0" fontId="75" fillId="5" borderId="53" xfId="0" applyFont="1" applyFill="1" applyBorder="1" applyAlignment="1">
      <alignment horizontal="left" vertical="top" wrapText="1"/>
    </xf>
    <xf numFmtId="0" fontId="75" fillId="5" borderId="27" xfId="0" applyFont="1" applyFill="1" applyBorder="1" applyAlignment="1">
      <alignment horizontal="left" vertical="top" wrapText="1"/>
    </xf>
    <xf numFmtId="0" fontId="75" fillId="5" borderId="25" xfId="0" applyFont="1" applyFill="1" applyBorder="1" applyAlignment="1">
      <alignment horizontal="left" vertical="top" wrapText="1"/>
    </xf>
    <xf numFmtId="0" fontId="29" fillId="0" borderId="210" xfId="0" applyFont="1" applyBorder="1" applyAlignment="1">
      <alignment horizontal="center" vertical="center"/>
    </xf>
    <xf numFmtId="0" fontId="30" fillId="0" borderId="3" xfId="0" applyFont="1" applyBorder="1" applyAlignment="1">
      <alignment horizontal="center" vertical="center" wrapText="1"/>
    </xf>
    <xf numFmtId="0" fontId="30" fillId="0" borderId="4" xfId="0" applyFont="1" applyBorder="1" applyAlignment="1">
      <alignment horizontal="center" vertical="center" wrapText="1"/>
    </xf>
    <xf numFmtId="0" fontId="3" fillId="0" borderId="4" xfId="0" applyFont="1" applyBorder="1" applyAlignment="1">
      <alignment vertical="center"/>
    </xf>
    <xf numFmtId="0" fontId="27" fillId="0" borderId="210" xfId="0" applyFont="1" applyBorder="1" applyAlignment="1">
      <alignment horizontal="center" vertical="center"/>
    </xf>
    <xf numFmtId="0" fontId="28" fillId="0" borderId="210" xfId="0" applyFont="1" applyBorder="1" applyAlignment="1">
      <alignment horizontal="center" vertical="center"/>
    </xf>
    <xf numFmtId="0" fontId="30" fillId="4" borderId="20" xfId="0" applyFont="1" applyFill="1" applyBorder="1" applyAlignment="1">
      <alignment horizontal="center" vertical="center" wrapText="1"/>
    </xf>
    <xf numFmtId="0" fontId="30" fillId="4" borderId="19" xfId="0" applyFont="1" applyFill="1" applyBorder="1" applyAlignment="1">
      <alignment horizontal="center" vertical="center" wrapText="1"/>
    </xf>
    <xf numFmtId="0" fontId="30" fillId="4" borderId="17" xfId="0" applyFont="1" applyFill="1" applyBorder="1" applyAlignment="1">
      <alignment horizontal="center" vertical="center" wrapText="1"/>
    </xf>
    <xf numFmtId="0" fontId="30" fillId="4" borderId="13" xfId="0" applyFont="1" applyFill="1" applyBorder="1" applyAlignment="1">
      <alignment horizontal="center" vertical="center" wrapText="1"/>
    </xf>
    <xf numFmtId="0" fontId="30" fillId="4" borderId="24" xfId="0" applyFont="1" applyFill="1" applyBorder="1" applyAlignment="1">
      <alignment horizontal="center" vertical="center" wrapText="1"/>
    </xf>
    <xf numFmtId="0" fontId="30" fillId="4" borderId="2" xfId="0" applyFont="1" applyFill="1" applyBorder="1" applyAlignment="1">
      <alignment horizontal="center" vertical="center" wrapText="1"/>
    </xf>
    <xf numFmtId="0" fontId="30" fillId="4" borderId="193" xfId="0" applyFont="1" applyFill="1" applyBorder="1" applyAlignment="1">
      <alignment horizontal="center" vertical="center" wrapText="1"/>
    </xf>
    <xf numFmtId="0" fontId="30" fillId="4" borderId="1" xfId="0" applyFont="1" applyFill="1" applyBorder="1" applyAlignment="1">
      <alignment horizontal="center" vertical="center" wrapText="1"/>
    </xf>
    <xf numFmtId="0" fontId="30" fillId="4" borderId="194"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3" fillId="0" borderId="5" xfId="0" applyFont="1" applyBorder="1" applyAlignment="1">
      <alignment vertical="center"/>
    </xf>
    <xf numFmtId="0" fontId="3" fillId="0" borderId="24" xfId="0" applyFont="1" applyBorder="1" applyAlignment="1">
      <alignment vertical="center"/>
    </xf>
    <xf numFmtId="0" fontId="8" fillId="3" borderId="3" xfId="0" applyFont="1" applyFill="1" applyBorder="1" applyAlignment="1">
      <alignment horizontal="center" vertical="top" wrapText="1"/>
    </xf>
    <xf numFmtId="0" fontId="3" fillId="0" borderId="4" xfId="0" applyFont="1" applyBorder="1" applyAlignment="1">
      <alignment vertical="top"/>
    </xf>
    <xf numFmtId="0" fontId="3" fillId="0" borderId="5" xfId="0" applyFont="1" applyBorder="1" applyAlignment="1">
      <alignment vertical="top"/>
    </xf>
    <xf numFmtId="0" fontId="3" fillId="0" borderId="24" xfId="0" applyFont="1" applyBorder="1" applyAlignment="1">
      <alignment vertical="top"/>
    </xf>
    <xf numFmtId="0" fontId="35" fillId="3" borderId="3" xfId="0" applyFont="1" applyFill="1" applyBorder="1" applyAlignment="1">
      <alignment horizontal="center" vertical="top" wrapText="1"/>
    </xf>
    <xf numFmtId="0" fontId="3" fillId="0" borderId="7" xfId="0" applyFont="1" applyBorder="1" applyAlignment="1">
      <alignment vertical="top"/>
    </xf>
    <xf numFmtId="0" fontId="3" fillId="0" borderId="8" xfId="0" applyFont="1" applyBorder="1" applyAlignment="1">
      <alignment vertical="top"/>
    </xf>
    <xf numFmtId="0" fontId="8" fillId="3" borderId="4" xfId="0" applyFont="1" applyFill="1" applyBorder="1" applyAlignment="1">
      <alignment horizontal="center" vertical="top" wrapText="1"/>
    </xf>
    <xf numFmtId="0" fontId="23" fillId="9" borderId="9" xfId="0" applyFont="1" applyFill="1" applyBorder="1" applyAlignment="1">
      <alignment horizontal="center" vertical="center"/>
    </xf>
    <xf numFmtId="0" fontId="23" fillId="9" borderId="14" xfId="0" applyFont="1" applyFill="1" applyBorder="1" applyAlignment="1">
      <alignment horizontal="center" vertical="center"/>
    </xf>
    <xf numFmtId="0" fontId="46" fillId="7" borderId="215" xfId="0" applyFont="1" applyFill="1" applyBorder="1" applyAlignment="1">
      <alignment horizontal="center" vertical="center"/>
    </xf>
    <xf numFmtId="0" fontId="46" fillId="7" borderId="217" xfId="0" applyFont="1" applyFill="1" applyBorder="1" applyAlignment="1">
      <alignment horizontal="center" vertical="center"/>
    </xf>
    <xf numFmtId="0" fontId="46" fillId="7" borderId="216" xfId="0" applyFont="1" applyFill="1" applyBorder="1" applyAlignment="1">
      <alignment horizontal="center" vertical="center"/>
    </xf>
    <xf numFmtId="0" fontId="39" fillId="7" borderId="215" xfId="0" applyFont="1" applyFill="1" applyBorder="1" applyAlignment="1">
      <alignment horizontal="center" vertical="center"/>
    </xf>
    <xf numFmtId="0" fontId="39" fillId="7" borderId="216" xfId="0" applyFont="1" applyFill="1" applyBorder="1" applyAlignment="1">
      <alignment horizontal="center" vertical="center"/>
    </xf>
    <xf numFmtId="0" fontId="39" fillId="7" borderId="218" xfId="0" applyFont="1" applyFill="1" applyBorder="1" applyAlignment="1">
      <alignment horizontal="center" vertical="center"/>
    </xf>
    <xf numFmtId="0" fontId="39" fillId="7" borderId="217" xfId="0" applyFont="1" applyFill="1" applyBorder="1" applyAlignment="1">
      <alignment horizontal="center" vertical="center"/>
    </xf>
    <xf numFmtId="0" fontId="18" fillId="7" borderId="9" xfId="0" applyFont="1" applyFill="1" applyBorder="1" applyAlignment="1">
      <alignment horizontal="left" vertical="top"/>
    </xf>
    <xf numFmtId="0" fontId="18" fillId="0" borderId="14" xfId="0" applyFont="1" applyBorder="1" applyAlignment="1">
      <alignment horizontal="left" vertical="top"/>
    </xf>
    <xf numFmtId="0" fontId="18" fillId="0" borderId="6" xfId="0" applyFont="1" applyBorder="1" applyAlignment="1">
      <alignment horizontal="left" vertical="top"/>
    </xf>
    <xf numFmtId="0" fontId="18" fillId="0" borderId="15" xfId="0" applyFont="1" applyBorder="1" applyAlignment="1">
      <alignment horizontal="left" vertical="top"/>
    </xf>
    <xf numFmtId="0" fontId="47" fillId="7" borderId="215" xfId="0" applyFont="1" applyFill="1" applyBorder="1" applyAlignment="1">
      <alignment horizontal="center" vertical="center"/>
    </xf>
    <xf numFmtId="0" fontId="47" fillId="7" borderId="216" xfId="0" applyFont="1" applyFill="1" applyBorder="1" applyAlignment="1">
      <alignment horizontal="center" vertical="center"/>
    </xf>
    <xf numFmtId="0" fontId="47" fillId="7" borderId="217" xfId="0" applyFont="1" applyFill="1" applyBorder="1" applyAlignment="1">
      <alignment horizontal="center" vertical="center"/>
    </xf>
    <xf numFmtId="0" fontId="18" fillId="0" borderId="9" xfId="0" applyFont="1" applyBorder="1" applyAlignment="1">
      <alignment horizontal="left" vertical="center" wrapText="1"/>
    </xf>
    <xf numFmtId="0" fontId="19" fillId="0" borderId="9" xfId="0" applyFont="1" applyBorder="1"/>
    <xf numFmtId="0" fontId="18" fillId="0" borderId="9" xfId="0" applyFont="1" applyBorder="1" applyAlignment="1">
      <alignment horizontal="left" vertical="center"/>
    </xf>
    <xf numFmtId="0" fontId="47" fillId="7" borderId="220" xfId="0" applyFont="1" applyFill="1" applyBorder="1" applyAlignment="1">
      <alignment horizontal="center" vertical="center"/>
    </xf>
    <xf numFmtId="0" fontId="47" fillId="7" borderId="218" xfId="0" applyFont="1" applyFill="1" applyBorder="1" applyAlignment="1">
      <alignment horizontal="center" vertical="center"/>
    </xf>
    <xf numFmtId="0" fontId="15" fillId="4" borderId="21" xfId="0" applyFont="1" applyFill="1" applyBorder="1" applyAlignment="1">
      <alignment horizontal="center" vertical="center" wrapText="1"/>
    </xf>
    <xf numFmtId="0" fontId="15" fillId="4" borderId="24" xfId="0" applyFont="1" applyFill="1" applyBorder="1" applyAlignment="1">
      <alignment horizontal="center" vertical="center" wrapText="1"/>
    </xf>
    <xf numFmtId="0" fontId="21" fillId="0" borderId="9" xfId="0" applyFont="1" applyBorder="1" applyAlignment="1">
      <alignment horizontal="center" vertical="center" wrapText="1"/>
    </xf>
    <xf numFmtId="0" fontId="23" fillId="9" borderId="3" xfId="0" applyFont="1" applyFill="1" applyBorder="1" applyAlignment="1">
      <alignment horizontal="center" vertical="center"/>
    </xf>
    <xf numFmtId="0" fontId="23" fillId="9" borderId="4" xfId="0" applyFont="1" applyFill="1" applyBorder="1" applyAlignment="1">
      <alignment horizontal="center" vertical="center"/>
    </xf>
    <xf numFmtId="0" fontId="23" fillId="9" borderId="5" xfId="0" applyFont="1" applyFill="1" applyBorder="1" applyAlignment="1">
      <alignment horizontal="center" vertical="center"/>
    </xf>
    <xf numFmtId="0" fontId="23" fillId="9" borderId="24" xfId="0" applyFont="1" applyFill="1" applyBorder="1" applyAlignment="1">
      <alignment horizontal="center" vertical="center"/>
    </xf>
    <xf numFmtId="0" fontId="23" fillId="9" borderId="7" xfId="0" applyFont="1" applyFill="1" applyBorder="1" applyAlignment="1">
      <alignment horizontal="center" vertical="center"/>
    </xf>
    <xf numFmtId="0" fontId="23" fillId="9" borderId="8" xfId="0" applyFont="1" applyFill="1" applyBorder="1" applyAlignment="1">
      <alignment horizontal="center" vertical="center"/>
    </xf>
    <xf numFmtId="0" fontId="23" fillId="9" borderId="11" xfId="0" applyFont="1" applyFill="1" applyBorder="1" applyAlignment="1">
      <alignment horizontal="center" vertical="center"/>
    </xf>
    <xf numFmtId="0" fontId="23" fillId="9" borderId="1" xfId="0" applyFont="1" applyFill="1" applyBorder="1" applyAlignment="1">
      <alignment horizontal="center" vertical="center"/>
    </xf>
    <xf numFmtId="0" fontId="23" fillId="9" borderId="12" xfId="0" applyFont="1" applyFill="1" applyBorder="1" applyAlignment="1">
      <alignment horizontal="center" vertical="center"/>
    </xf>
    <xf numFmtId="0" fontId="40" fillId="4" borderId="24" xfId="1" applyFont="1" applyFill="1" applyAlignment="1">
      <alignment horizontal="center" vertical="center"/>
    </xf>
    <xf numFmtId="0" fontId="37" fillId="0" borderId="24" xfId="1"/>
    <xf numFmtId="0" fontId="23" fillId="9" borderId="52" xfId="1" applyFont="1" applyFill="1" applyBorder="1" applyAlignment="1">
      <alignment horizontal="center" vertical="center"/>
    </xf>
    <xf numFmtId="0" fontId="37" fillId="0" borderId="52" xfId="1" applyBorder="1"/>
    <xf numFmtId="0" fontId="27" fillId="0" borderId="52" xfId="0" applyFont="1" applyBorder="1" applyAlignment="1">
      <alignment horizontal="center" vertical="center"/>
    </xf>
    <xf numFmtId="0" fontId="28" fillId="0" borderId="52" xfId="0" applyFont="1" applyBorder="1" applyAlignment="1">
      <alignment horizontal="center" vertical="center"/>
    </xf>
    <xf numFmtId="0" fontId="27" fillId="0" borderId="236" xfId="0" applyFont="1" applyBorder="1" applyAlignment="1">
      <alignment horizontal="center" vertical="center"/>
    </xf>
    <xf numFmtId="0" fontId="27" fillId="0" borderId="237" xfId="0" applyFont="1" applyBorder="1" applyAlignment="1">
      <alignment horizontal="center" vertical="center"/>
    </xf>
    <xf numFmtId="0" fontId="27" fillId="0" borderId="238" xfId="0" applyFont="1" applyBorder="1" applyAlignment="1">
      <alignment horizontal="center" vertical="center"/>
    </xf>
    <xf numFmtId="0" fontId="29" fillId="0" borderId="52" xfId="0" applyFont="1" applyBorder="1" applyAlignment="1">
      <alignment horizontal="center" vertical="center"/>
    </xf>
    <xf numFmtId="0" fontId="24" fillId="4" borderId="18" xfId="0" applyFont="1" applyFill="1" applyBorder="1" applyAlignment="1">
      <alignment horizontal="center" vertical="center" wrapText="1"/>
    </xf>
    <xf numFmtId="0" fontId="38" fillId="6" borderId="18" xfId="0" applyFont="1" applyFill="1" applyBorder="1" applyAlignment="1">
      <alignment horizontal="center" vertical="center" wrapText="1"/>
    </xf>
    <xf numFmtId="0" fontId="0" fillId="0" borderId="14" xfId="0" applyBorder="1" applyAlignment="1">
      <alignment wrapText="1"/>
    </xf>
    <xf numFmtId="0" fontId="97" fillId="0" borderId="9" xfId="0" applyFont="1" applyBorder="1" applyAlignment="1">
      <alignment vertical="center" wrapText="1" readingOrder="1"/>
    </xf>
    <xf numFmtId="0" fontId="38" fillId="6" borderId="10" xfId="0" applyFont="1" applyFill="1" applyBorder="1" applyAlignment="1">
      <alignment horizontal="center" vertical="center" wrapText="1"/>
    </xf>
    <xf numFmtId="0" fontId="86" fillId="6" borderId="10" xfId="0" applyFont="1" applyFill="1" applyBorder="1" applyAlignment="1">
      <alignment horizontal="left" vertical="center" wrapText="1"/>
    </xf>
    <xf numFmtId="0" fontId="86" fillId="38" borderId="16" xfId="0" applyFont="1" applyFill="1" applyBorder="1" applyAlignment="1">
      <alignment horizontal="center" vertical="center" wrapText="1"/>
    </xf>
    <xf numFmtId="0" fontId="0" fillId="0" borderId="20" xfId="0" applyBorder="1" applyAlignment="1">
      <alignment wrapText="1"/>
    </xf>
    <xf numFmtId="0" fontId="98" fillId="0" borderId="9" xfId="0" applyFont="1" applyBorder="1" applyAlignment="1">
      <alignment vertical="center" wrapText="1" readingOrder="1"/>
    </xf>
    <xf numFmtId="0" fontId="99" fillId="0" borderId="20" xfId="0" applyFont="1" applyBorder="1" applyAlignment="1">
      <alignment wrapText="1"/>
    </xf>
    <xf numFmtId="0" fontId="104" fillId="0" borderId="9" xfId="0" applyFont="1" applyBorder="1" applyAlignment="1">
      <alignment vertical="center" wrapText="1" readingOrder="1"/>
    </xf>
    <xf numFmtId="0" fontId="25" fillId="6" borderId="10" xfId="0" applyFont="1" applyFill="1" applyBorder="1" applyAlignment="1">
      <alignment horizontal="left" vertical="center" wrapText="1"/>
    </xf>
    <xf numFmtId="0" fontId="86" fillId="6" borderId="16" xfId="0" applyFont="1" applyFill="1" applyBorder="1" applyAlignment="1">
      <alignment horizontal="left" vertical="center" wrapText="1"/>
    </xf>
    <xf numFmtId="0" fontId="99" fillId="0" borderId="14" xfId="0" applyFont="1" applyBorder="1" applyAlignment="1">
      <alignment wrapText="1"/>
    </xf>
    <xf numFmtId="0" fontId="38" fillId="6" borderId="16" xfId="0" applyFont="1" applyFill="1" applyBorder="1" applyAlignment="1">
      <alignment horizontal="center" vertical="center" wrapText="1"/>
    </xf>
    <xf numFmtId="0" fontId="25" fillId="6" borderId="16" xfId="0" applyFont="1" applyFill="1" applyBorder="1" applyAlignment="1">
      <alignment horizontal="left" vertical="center" wrapText="1"/>
    </xf>
    <xf numFmtId="0" fontId="108" fillId="7" borderId="20" xfId="0" applyFont="1" applyFill="1" applyBorder="1" applyAlignment="1">
      <alignment horizontal="justify" vertical="center" wrapText="1"/>
    </xf>
    <xf numFmtId="0" fontId="109" fillId="7" borderId="9" xfId="0" applyFont="1" applyFill="1" applyBorder="1" applyAlignment="1">
      <alignment horizontal="left" vertical="center" wrapText="1"/>
    </xf>
    <xf numFmtId="0" fontId="111" fillId="0" borderId="20" xfId="0" applyFont="1" applyBorder="1" applyAlignment="1">
      <alignment wrapText="1"/>
    </xf>
    <xf numFmtId="0" fontId="109" fillId="7" borderId="14" xfId="0" applyFont="1" applyFill="1" applyBorder="1" applyAlignment="1">
      <alignment horizontal="left" vertical="center" wrapText="1"/>
    </xf>
    <xf numFmtId="0" fontId="86" fillId="0" borderId="16" xfId="0" applyFont="1" applyBorder="1" applyAlignment="1">
      <alignment horizontal="center" vertical="center" wrapText="1"/>
    </xf>
    <xf numFmtId="0" fontId="108" fillId="7" borderId="14" xfId="0" applyFont="1" applyFill="1" applyBorder="1" applyAlignment="1">
      <alignment horizontal="left" vertical="center" wrapText="1"/>
    </xf>
    <xf numFmtId="0" fontId="114" fillId="7" borderId="9" xfId="0" applyFont="1" applyFill="1" applyBorder="1" applyAlignment="1">
      <alignment horizontal="left" vertical="center" wrapText="1"/>
    </xf>
    <xf numFmtId="0" fontId="116" fillId="7" borderId="14" xfId="0" applyFont="1" applyFill="1" applyBorder="1" applyAlignment="1">
      <alignment vertical="center" wrapText="1"/>
    </xf>
    <xf numFmtId="0" fontId="117" fillId="0" borderId="9" xfId="0" applyFont="1" applyBorder="1" applyAlignment="1">
      <alignment vertical="center" wrapText="1" readingOrder="1"/>
    </xf>
    <xf numFmtId="0" fontId="115" fillId="6" borderId="10" xfId="0" applyFont="1" applyFill="1" applyBorder="1" applyAlignment="1">
      <alignment horizontal="center" vertical="center" wrapText="1"/>
    </xf>
    <xf numFmtId="0" fontId="108" fillId="7" borderId="14" xfId="0" applyFont="1" applyFill="1" applyBorder="1" applyAlignment="1">
      <alignment vertical="center" wrapText="1"/>
    </xf>
    <xf numFmtId="0" fontId="115" fillId="6" borderId="16" xfId="0" applyFont="1" applyFill="1" applyBorder="1" applyAlignment="1">
      <alignment horizontal="center" vertical="center" wrapText="1"/>
    </xf>
    <xf numFmtId="0" fontId="108" fillId="7" borderId="23" xfId="0" applyFont="1" applyFill="1" applyBorder="1" applyAlignment="1">
      <alignment vertical="center" wrapText="1"/>
    </xf>
    <xf numFmtId="0" fontId="108" fillId="7" borderId="23" xfId="0" applyFont="1" applyFill="1" applyBorder="1" applyAlignment="1">
      <alignment vertical="top" wrapText="1"/>
    </xf>
    <xf numFmtId="0" fontId="114" fillId="7" borderId="18" xfId="0" applyFont="1" applyFill="1" applyBorder="1" applyAlignment="1">
      <alignment horizontal="left" vertical="center" wrapText="1"/>
    </xf>
    <xf numFmtId="0" fontId="86" fillId="0" borderId="10" xfId="0" applyFont="1" applyBorder="1" applyAlignment="1">
      <alignment horizontal="center" vertical="center" wrapText="1"/>
    </xf>
    <xf numFmtId="0" fontId="116" fillId="7" borderId="20" xfId="0" applyFont="1" applyFill="1" applyBorder="1" applyAlignment="1">
      <alignment vertical="center" wrapText="1"/>
    </xf>
    <xf numFmtId="0" fontId="104" fillId="0" borderId="18" xfId="0" applyFont="1" applyBorder="1" applyAlignment="1">
      <alignment vertical="center" wrapText="1" readingOrder="1"/>
    </xf>
    <xf numFmtId="0" fontId="6" fillId="6" borderId="9" xfId="0" applyFont="1" applyFill="1" applyBorder="1" applyAlignment="1">
      <alignment horizontal="center" vertical="center" wrapText="1"/>
    </xf>
    <xf numFmtId="0" fontId="108" fillId="7" borderId="9" xfId="0" applyFont="1" applyFill="1" applyBorder="1" applyAlignment="1">
      <alignment horizontal="left" vertical="top" wrapText="1"/>
    </xf>
    <xf numFmtId="0" fontId="0" fillId="0" borderId="9" xfId="0" applyBorder="1" applyAlignment="1">
      <alignment horizontal="center" vertical="center" wrapText="1"/>
    </xf>
    <xf numFmtId="0" fontId="114" fillId="7" borderId="9" xfId="0" applyFont="1" applyFill="1" applyBorder="1" applyAlignment="1">
      <alignment horizontal="left" vertical="center"/>
    </xf>
    <xf numFmtId="0" fontId="108" fillId="7" borderId="9" xfId="0" applyFont="1" applyFill="1" applyBorder="1" applyAlignment="1">
      <alignment vertical="center" wrapText="1"/>
    </xf>
    <xf numFmtId="0" fontId="108" fillId="7" borderId="9" xfId="0" applyFont="1" applyFill="1" applyBorder="1" applyAlignment="1">
      <alignment horizontal="justify" vertical="center" wrapText="1"/>
    </xf>
    <xf numFmtId="0" fontId="0" fillId="0" borderId="9" xfId="0" applyBorder="1" applyAlignment="1">
      <alignment vertical="center" wrapText="1"/>
    </xf>
    <xf numFmtId="0" fontId="99" fillId="7" borderId="9" xfId="0" applyFont="1" applyFill="1" applyBorder="1" applyAlignment="1">
      <alignment vertical="center" wrapText="1"/>
    </xf>
    <xf numFmtId="0" fontId="6" fillId="7" borderId="16" xfId="0" applyFont="1" applyFill="1" applyBorder="1" applyAlignment="1">
      <alignment horizontal="center" vertical="center" wrapText="1"/>
    </xf>
    <xf numFmtId="0" fontId="124" fillId="7" borderId="13" xfId="0" applyFont="1" applyFill="1" applyBorder="1" applyAlignment="1">
      <alignment horizontal="left" vertical="center" wrapText="1"/>
    </xf>
    <xf numFmtId="0" fontId="0" fillId="0" borderId="16" xfId="0" applyBorder="1" applyAlignment="1">
      <alignment horizontal="center" vertical="center" wrapText="1"/>
    </xf>
    <xf numFmtId="0" fontId="6" fillId="7" borderId="9" xfId="0" applyFont="1" applyFill="1" applyBorder="1" applyAlignment="1">
      <alignment horizontal="center" vertical="center" wrapText="1"/>
    </xf>
    <xf numFmtId="0" fontId="122" fillId="7" borderId="9" xfId="0" applyFont="1" applyFill="1" applyBorder="1" applyAlignment="1">
      <alignment horizontal="left" vertical="center" wrapText="1"/>
    </xf>
    <xf numFmtId="0" fontId="86" fillId="7" borderId="16" xfId="0" applyFont="1" applyFill="1" applyBorder="1" applyAlignment="1">
      <alignment horizontal="center" vertical="center" wrapText="1"/>
    </xf>
    <xf numFmtId="0" fontId="124" fillId="7" borderId="20" xfId="0" applyFont="1" applyFill="1" applyBorder="1" applyAlignment="1">
      <alignment horizontal="left" vertical="center" wrapText="1"/>
    </xf>
    <xf numFmtId="0" fontId="2" fillId="7" borderId="9" xfId="0" applyFont="1" applyFill="1" applyBorder="1" applyAlignment="1">
      <alignment horizontal="left" vertical="center" wrapText="1"/>
    </xf>
    <xf numFmtId="0" fontId="124" fillId="7" borderId="14" xfId="0" applyFont="1" applyFill="1" applyBorder="1" applyAlignment="1">
      <alignment vertical="center" wrapText="1"/>
    </xf>
    <xf numFmtId="0" fontId="124" fillId="7" borderId="20" xfId="0" applyFont="1" applyFill="1" applyBorder="1" applyAlignment="1">
      <alignment vertical="center" wrapText="1"/>
    </xf>
    <xf numFmtId="0" fontId="105" fillId="7" borderId="14" xfId="0" applyFont="1" applyFill="1" applyBorder="1" applyAlignment="1">
      <alignment vertical="center" wrapText="1"/>
    </xf>
    <xf numFmtId="0" fontId="86" fillId="7" borderId="23" xfId="0" applyFont="1" applyFill="1" applyBorder="1" applyAlignment="1">
      <alignment horizontal="center" vertical="center" wrapText="1"/>
    </xf>
    <xf numFmtId="0" fontId="99" fillId="7" borderId="20" xfId="0" applyFont="1" applyFill="1" applyBorder="1" applyAlignment="1">
      <alignment horizontal="center" vertical="center" wrapText="1"/>
    </xf>
    <xf numFmtId="0" fontId="99" fillId="7" borderId="23" xfId="0" applyFont="1" applyFill="1" applyBorder="1" applyAlignment="1">
      <alignment horizontal="center" vertical="center" wrapText="1"/>
    </xf>
    <xf numFmtId="0" fontId="0" fillId="0" borderId="9" xfId="0" applyBorder="1" applyAlignment="1">
      <alignment horizontal="center" vertical="center"/>
    </xf>
    <xf numFmtId="0" fontId="25" fillId="6" borderId="18" xfId="0" applyFont="1" applyFill="1" applyBorder="1" applyAlignment="1">
      <alignment horizontal="left" vertical="center" wrapText="1"/>
    </xf>
    <xf numFmtId="0" fontId="25" fillId="38" borderId="18" xfId="0" applyFont="1" applyFill="1" applyBorder="1" applyAlignment="1">
      <alignment horizontal="center" vertical="center" wrapText="1"/>
    </xf>
    <xf numFmtId="0" fontId="25" fillId="0" borderId="18" xfId="0" applyFont="1" applyBorder="1" applyAlignment="1">
      <alignment horizontal="center" vertical="center" wrapText="1"/>
    </xf>
    <xf numFmtId="0" fontId="73" fillId="6" borderId="18" xfId="0" applyFont="1" applyFill="1" applyBorder="1" applyAlignment="1">
      <alignment horizontal="center" vertical="center" wrapText="1"/>
    </xf>
    <xf numFmtId="0" fontId="114" fillId="7" borderId="9" xfId="0" applyFont="1" applyFill="1" applyBorder="1" applyAlignment="1">
      <alignment vertical="center" wrapText="1"/>
    </xf>
    <xf numFmtId="0" fontId="73" fillId="7" borderId="9" xfId="0" applyFont="1" applyFill="1" applyBorder="1" applyAlignment="1">
      <alignment vertical="center" wrapText="1"/>
    </xf>
    <xf numFmtId="0" fontId="2" fillId="7" borderId="16" xfId="0" applyFont="1" applyFill="1" applyBorder="1" applyAlignment="1">
      <alignment horizontal="left" vertical="center" wrapText="1"/>
    </xf>
    <xf numFmtId="0" fontId="25" fillId="7" borderId="10" xfId="0" applyFont="1" applyFill="1" applyBorder="1" applyAlignment="1">
      <alignment horizontal="center" vertical="center" wrapText="1"/>
    </xf>
    <xf numFmtId="0" fontId="25" fillId="7" borderId="20" xfId="0" applyFont="1" applyFill="1" applyBorder="1" applyAlignment="1">
      <alignment horizontal="center" vertical="center" wrapText="1"/>
    </xf>
    <xf numFmtId="0" fontId="25" fillId="7" borderId="18" xfId="0" applyFont="1" applyFill="1" applyBorder="1" applyAlignment="1">
      <alignment horizontal="center" vertical="center" wrapText="1"/>
    </xf>
    <xf numFmtId="0" fontId="73" fillId="0" borderId="239" xfId="0" applyFont="1" applyBorder="1" applyAlignment="1">
      <alignment horizontal="left" vertical="center" wrapText="1"/>
    </xf>
    <xf numFmtId="0" fontId="73" fillId="0" borderId="240" xfId="0" applyFont="1" applyBorder="1" applyAlignment="1">
      <alignment horizontal="left" vertical="center" wrapText="1"/>
    </xf>
    <xf numFmtId="0" fontId="2" fillId="0" borderId="234" xfId="0" applyFont="1" applyBorder="1" applyAlignment="1">
      <alignment horizontal="center" wrapText="1"/>
    </xf>
    <xf numFmtId="0" fontId="2" fillId="0" borderId="108" xfId="0" applyFont="1" applyBorder="1" applyAlignment="1">
      <alignment horizontal="center" wrapText="1"/>
    </xf>
    <xf numFmtId="0" fontId="73" fillId="0" borderId="239" xfId="0" applyFont="1" applyBorder="1" applyAlignment="1">
      <alignment horizontal="center" vertical="center" wrapText="1"/>
    </xf>
    <xf numFmtId="0" fontId="73" fillId="0" borderId="241" xfId="0" applyFont="1" applyBorder="1" applyAlignment="1">
      <alignment horizontal="center" vertical="center" wrapText="1"/>
    </xf>
    <xf numFmtId="0" fontId="73" fillId="0" borderId="242" xfId="0" applyFont="1" applyBorder="1" applyAlignment="1">
      <alignment horizontal="center" vertical="center" wrapText="1"/>
    </xf>
    <xf numFmtId="0" fontId="73" fillId="0" borderId="240" xfId="0" applyFont="1" applyBorder="1" applyAlignment="1">
      <alignment horizontal="center" vertical="center" wrapText="1"/>
    </xf>
    <xf numFmtId="0" fontId="2" fillId="0" borderId="234" xfId="0" applyFont="1" applyBorder="1" applyAlignment="1">
      <alignment horizontal="left" wrapText="1"/>
    </xf>
    <xf numFmtId="0" fontId="2" fillId="0" borderId="108" xfId="0" applyFont="1" applyBorder="1" applyAlignment="1">
      <alignment horizontal="left" wrapText="1"/>
    </xf>
    <xf numFmtId="0" fontId="2" fillId="0" borderId="234" xfId="0" applyFont="1" applyBorder="1" applyAlignment="1">
      <alignment horizontal="center" vertical="center" wrapText="1"/>
    </xf>
    <xf numFmtId="0" fontId="2" fillId="0" borderId="53" xfId="0" applyFont="1" applyBorder="1" applyAlignment="1">
      <alignment horizontal="center" vertical="center" wrapText="1"/>
    </xf>
    <xf numFmtId="0" fontId="2" fillId="0" borderId="108" xfId="0" applyFont="1" applyBorder="1" applyAlignment="1">
      <alignment horizontal="center" vertical="center" wrapText="1"/>
    </xf>
    <xf numFmtId="0" fontId="73" fillId="0" borderId="243" xfId="0" applyFont="1" applyBorder="1" applyAlignment="1">
      <alignment horizontal="left" vertical="center" wrapText="1"/>
    </xf>
    <xf numFmtId="0" fontId="73" fillId="0" borderId="108"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6" xfId="0" applyFont="1" applyBorder="1" applyAlignment="1">
      <alignment horizontal="center" vertical="center" wrapText="1"/>
    </xf>
  </cellXfs>
  <cellStyles count="4">
    <cellStyle name="Normal" xfId="0" builtinId="0"/>
    <cellStyle name="Normal 2" xfId="1" xr:uid="{622906DB-DA64-4FD4-A9B5-2D1821CEA054}"/>
    <cellStyle name="Normal 2 2" xfId="3" xr:uid="{F6281D6B-E012-4BF7-B09B-57B87F726638}"/>
    <cellStyle name="Porcentaje" xfId="2" builtinId="5"/>
  </cellStyles>
  <dxfs count="4">
    <dxf>
      <fill>
        <patternFill patternType="solid">
          <fgColor rgb="FFDBE5F1"/>
          <bgColor rgb="FFDBE5F1"/>
        </patternFill>
      </fill>
    </dxf>
    <dxf>
      <fill>
        <patternFill patternType="solid">
          <fgColor rgb="FFDBE5F1"/>
          <bgColor rgb="FFDBE5F1"/>
        </patternFill>
      </fill>
    </dxf>
    <dxf>
      <fill>
        <patternFill patternType="solid">
          <fgColor theme="0"/>
          <bgColor theme="0"/>
        </patternFill>
      </fill>
    </dxf>
    <dxf>
      <fill>
        <patternFill patternType="solid">
          <fgColor theme="0"/>
          <bgColor theme="0"/>
        </patternFill>
      </fill>
    </dxf>
  </dxfs>
  <tableStyles count="1">
    <tableStyle name="DISTRIBUCIÓN DE LOS CREDITOS-style" pivot="0" count="4" xr9:uid="{00000000-0011-0000-FFFF-FFFF00000000}">
      <tableStyleElement type="headerRow" dxfId="3"/>
      <tableStyleElement type="totalRow" dxfId="2"/>
      <tableStyleElement type="firstRowStripe" dxfId="1"/>
      <tableStyleElement type="secondRowStripe" dxfId="0"/>
    </tableStyle>
  </tableStyles>
  <colors>
    <mruColors>
      <color rgb="FFBDEE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24" Type="http://schemas.openxmlformats.org/officeDocument/2006/relationships/customXml" Target="../customXml/item3.xml"/><Relationship Id="rId5" Type="http://schemas.openxmlformats.org/officeDocument/2006/relationships/worksheet" Target="worksheets/sheet5.xml"/><Relationship Id="rId23" Type="http://schemas.openxmlformats.org/officeDocument/2006/relationships/customXml" Target="../customXml/item2.xml"/><Relationship Id="rId19" Type="http://schemas.openxmlformats.org/officeDocument/2006/relationships/sharedStrings" Target="sharedStrings.xml"/><Relationship Id="rId4" Type="http://schemas.openxmlformats.org/officeDocument/2006/relationships/worksheet" Target="worksheets/sheet4.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12</xdr:col>
      <xdr:colOff>285750</xdr:colOff>
      <xdr:row>61</xdr:row>
      <xdr:rowOff>0</xdr:rowOff>
    </xdr:from>
    <xdr:to>
      <xdr:col>12</xdr:col>
      <xdr:colOff>247650</xdr:colOff>
      <xdr:row>61</xdr:row>
      <xdr:rowOff>0</xdr:rowOff>
    </xdr:to>
    <xdr:sp macro="" textlink="">
      <xdr:nvSpPr>
        <xdr:cNvPr id="2" name="Line 16">
          <a:extLst>
            <a:ext uri="{FF2B5EF4-FFF2-40B4-BE49-F238E27FC236}">
              <a16:creationId xmlns:a16="http://schemas.microsoft.com/office/drawing/2014/main" id="{F63F16A4-2119-46A5-8FA0-E3777943FA95}"/>
            </a:ext>
          </a:extLst>
        </xdr:cNvPr>
        <xdr:cNvSpPr>
          <a:spLocks noChangeShapeType="1"/>
        </xdr:cNvSpPr>
      </xdr:nvSpPr>
      <xdr:spPr bwMode="auto">
        <a:xfrm>
          <a:off x="4333875" y="16821150"/>
          <a:ext cx="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9525</xdr:colOff>
      <xdr:row>61</xdr:row>
      <xdr:rowOff>0</xdr:rowOff>
    </xdr:from>
    <xdr:to>
      <xdr:col>12</xdr:col>
      <xdr:colOff>247650</xdr:colOff>
      <xdr:row>61</xdr:row>
      <xdr:rowOff>0</xdr:rowOff>
    </xdr:to>
    <xdr:sp macro="" textlink="">
      <xdr:nvSpPr>
        <xdr:cNvPr id="3" name="Freeform 17">
          <a:extLst>
            <a:ext uri="{FF2B5EF4-FFF2-40B4-BE49-F238E27FC236}">
              <a16:creationId xmlns:a16="http://schemas.microsoft.com/office/drawing/2014/main" id="{57D4BB94-8F4A-4CCF-B393-C62F19EE3DD0}"/>
            </a:ext>
          </a:extLst>
        </xdr:cNvPr>
        <xdr:cNvSpPr>
          <a:spLocks/>
        </xdr:cNvSpPr>
      </xdr:nvSpPr>
      <xdr:spPr bwMode="auto">
        <a:xfrm flipV="1">
          <a:off x="4095750" y="16821150"/>
          <a:ext cx="238125" cy="0"/>
        </a:xfrm>
        <a:custGeom>
          <a:avLst/>
          <a:gdLst>
            <a:gd name="T0" fmla="*/ 0 w 41"/>
            <a:gd name="T1" fmla="*/ 0 h 1"/>
            <a:gd name="T2" fmla="*/ 2147483646 w 41"/>
            <a:gd name="T3" fmla="*/ 0 h 1"/>
            <a:gd name="T4" fmla="*/ 0 60000 65536"/>
            <a:gd name="T5" fmla="*/ 0 60000 65536"/>
            <a:gd name="T6" fmla="*/ 0 w 41"/>
            <a:gd name="T7" fmla="*/ 0 h 1"/>
            <a:gd name="T8" fmla="*/ 41 w 41"/>
            <a:gd name="T9" fmla="*/ 0 h 1"/>
          </a:gdLst>
          <a:ahLst/>
          <a:cxnLst>
            <a:cxn ang="T4">
              <a:pos x="T0" y="T1"/>
            </a:cxn>
            <a:cxn ang="T5">
              <a:pos x="T2" y="T3"/>
            </a:cxn>
          </a:cxnLst>
          <a:rect l="T6" t="T7" r="T8" b="T9"/>
          <a:pathLst>
            <a:path w="41" h="1">
              <a:moveTo>
                <a:pt x="0" y="0"/>
              </a:moveTo>
              <a:lnTo>
                <a:pt x="41" y="0"/>
              </a:lnTo>
            </a:path>
          </a:pathLst>
        </a:custGeom>
        <a:noFill/>
        <a:ln w="9525">
          <a:solidFill>
            <a:srgbClr val="969696"/>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12</xdr:col>
      <xdr:colOff>9525</xdr:colOff>
      <xdr:row>61</xdr:row>
      <xdr:rowOff>0</xdr:rowOff>
    </xdr:from>
    <xdr:to>
      <xdr:col>12</xdr:col>
      <xdr:colOff>247650</xdr:colOff>
      <xdr:row>61</xdr:row>
      <xdr:rowOff>0</xdr:rowOff>
    </xdr:to>
    <xdr:sp macro="" textlink="">
      <xdr:nvSpPr>
        <xdr:cNvPr id="4" name="Freeform 18">
          <a:extLst>
            <a:ext uri="{FF2B5EF4-FFF2-40B4-BE49-F238E27FC236}">
              <a16:creationId xmlns:a16="http://schemas.microsoft.com/office/drawing/2014/main" id="{AF2AEEE0-7D60-4215-B946-483133C12153}"/>
            </a:ext>
          </a:extLst>
        </xdr:cNvPr>
        <xdr:cNvSpPr>
          <a:spLocks/>
        </xdr:cNvSpPr>
      </xdr:nvSpPr>
      <xdr:spPr bwMode="auto">
        <a:xfrm flipV="1">
          <a:off x="4095750" y="16821150"/>
          <a:ext cx="238125" cy="0"/>
        </a:xfrm>
        <a:custGeom>
          <a:avLst/>
          <a:gdLst>
            <a:gd name="T0" fmla="*/ 0 w 41"/>
            <a:gd name="T1" fmla="*/ 0 h 1"/>
            <a:gd name="T2" fmla="*/ 2147483646 w 41"/>
            <a:gd name="T3" fmla="*/ 0 h 1"/>
            <a:gd name="T4" fmla="*/ 0 60000 65536"/>
            <a:gd name="T5" fmla="*/ 0 60000 65536"/>
            <a:gd name="T6" fmla="*/ 0 w 41"/>
            <a:gd name="T7" fmla="*/ 0 h 1"/>
            <a:gd name="T8" fmla="*/ 41 w 41"/>
            <a:gd name="T9" fmla="*/ 0 h 1"/>
          </a:gdLst>
          <a:ahLst/>
          <a:cxnLst>
            <a:cxn ang="T4">
              <a:pos x="T0" y="T1"/>
            </a:cxn>
            <a:cxn ang="T5">
              <a:pos x="T2" y="T3"/>
            </a:cxn>
          </a:cxnLst>
          <a:rect l="T6" t="T7" r="T8" b="T9"/>
          <a:pathLst>
            <a:path w="41" h="1">
              <a:moveTo>
                <a:pt x="0" y="0"/>
              </a:moveTo>
              <a:lnTo>
                <a:pt x="41" y="0"/>
              </a:lnTo>
            </a:path>
          </a:pathLst>
        </a:custGeom>
        <a:noFill/>
        <a:ln w="9525">
          <a:solidFill>
            <a:srgbClr val="969696"/>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40</xdr:col>
      <xdr:colOff>9525</xdr:colOff>
      <xdr:row>61</xdr:row>
      <xdr:rowOff>0</xdr:rowOff>
    </xdr:from>
    <xdr:to>
      <xdr:col>40</xdr:col>
      <xdr:colOff>161925</xdr:colOff>
      <xdr:row>61</xdr:row>
      <xdr:rowOff>0</xdr:rowOff>
    </xdr:to>
    <xdr:sp macro="" textlink="">
      <xdr:nvSpPr>
        <xdr:cNvPr id="5" name="Line 106">
          <a:extLst>
            <a:ext uri="{FF2B5EF4-FFF2-40B4-BE49-F238E27FC236}">
              <a16:creationId xmlns:a16="http://schemas.microsoft.com/office/drawing/2014/main" id="{C2E61AA7-CFD8-45B1-8558-CDA3FA9B4EB4}"/>
            </a:ext>
          </a:extLst>
        </xdr:cNvPr>
        <xdr:cNvSpPr>
          <a:spLocks noChangeShapeType="1"/>
        </xdr:cNvSpPr>
      </xdr:nvSpPr>
      <xdr:spPr bwMode="auto">
        <a:xfrm>
          <a:off x="11906250" y="16821150"/>
          <a:ext cx="15240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33</xdr:col>
      <xdr:colOff>9525</xdr:colOff>
      <xdr:row>61</xdr:row>
      <xdr:rowOff>0</xdr:rowOff>
    </xdr:from>
    <xdr:to>
      <xdr:col>33</xdr:col>
      <xdr:colOff>142875</xdr:colOff>
      <xdr:row>61</xdr:row>
      <xdr:rowOff>0</xdr:rowOff>
    </xdr:to>
    <xdr:sp macro="" textlink="">
      <xdr:nvSpPr>
        <xdr:cNvPr id="6" name="Line 113">
          <a:extLst>
            <a:ext uri="{FF2B5EF4-FFF2-40B4-BE49-F238E27FC236}">
              <a16:creationId xmlns:a16="http://schemas.microsoft.com/office/drawing/2014/main" id="{4CBECB24-1F7C-4737-824E-DF515B1E35D9}"/>
            </a:ext>
          </a:extLst>
        </xdr:cNvPr>
        <xdr:cNvSpPr>
          <a:spLocks noChangeShapeType="1"/>
        </xdr:cNvSpPr>
      </xdr:nvSpPr>
      <xdr:spPr bwMode="auto">
        <a:xfrm>
          <a:off x="9991725" y="16821150"/>
          <a:ext cx="1333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33</xdr:col>
      <xdr:colOff>142875</xdr:colOff>
      <xdr:row>61</xdr:row>
      <xdr:rowOff>0</xdr:rowOff>
    </xdr:from>
    <xdr:to>
      <xdr:col>33</xdr:col>
      <xdr:colOff>142875</xdr:colOff>
      <xdr:row>61</xdr:row>
      <xdr:rowOff>0</xdr:rowOff>
    </xdr:to>
    <xdr:sp macro="" textlink="">
      <xdr:nvSpPr>
        <xdr:cNvPr id="7" name="Line 114">
          <a:extLst>
            <a:ext uri="{FF2B5EF4-FFF2-40B4-BE49-F238E27FC236}">
              <a16:creationId xmlns:a16="http://schemas.microsoft.com/office/drawing/2014/main" id="{73EB7A7D-D588-4EE4-9F74-B5130F3A489C}"/>
            </a:ext>
          </a:extLst>
        </xdr:cNvPr>
        <xdr:cNvSpPr>
          <a:spLocks noChangeShapeType="1"/>
        </xdr:cNvSpPr>
      </xdr:nvSpPr>
      <xdr:spPr bwMode="auto">
        <a:xfrm>
          <a:off x="10125075" y="16821150"/>
          <a:ext cx="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19050</xdr:colOff>
      <xdr:row>61</xdr:row>
      <xdr:rowOff>0</xdr:rowOff>
    </xdr:from>
    <xdr:to>
      <xdr:col>12</xdr:col>
      <xdr:colOff>133350</xdr:colOff>
      <xdr:row>61</xdr:row>
      <xdr:rowOff>0</xdr:rowOff>
    </xdr:to>
    <xdr:sp macro="" textlink="">
      <xdr:nvSpPr>
        <xdr:cNvPr id="8" name="Line 165">
          <a:extLst>
            <a:ext uri="{FF2B5EF4-FFF2-40B4-BE49-F238E27FC236}">
              <a16:creationId xmlns:a16="http://schemas.microsoft.com/office/drawing/2014/main" id="{1DA848F1-76CD-4110-B440-6BCC84F076E3}"/>
            </a:ext>
          </a:extLst>
        </xdr:cNvPr>
        <xdr:cNvSpPr>
          <a:spLocks noChangeShapeType="1"/>
        </xdr:cNvSpPr>
      </xdr:nvSpPr>
      <xdr:spPr bwMode="auto">
        <a:xfrm>
          <a:off x="4105275" y="16821150"/>
          <a:ext cx="11430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142875</xdr:colOff>
      <xdr:row>61</xdr:row>
      <xdr:rowOff>0</xdr:rowOff>
    </xdr:from>
    <xdr:to>
      <xdr:col>12</xdr:col>
      <xdr:colOff>142875</xdr:colOff>
      <xdr:row>61</xdr:row>
      <xdr:rowOff>0</xdr:rowOff>
    </xdr:to>
    <xdr:sp macro="" textlink="">
      <xdr:nvSpPr>
        <xdr:cNvPr id="9" name="Line 166">
          <a:extLst>
            <a:ext uri="{FF2B5EF4-FFF2-40B4-BE49-F238E27FC236}">
              <a16:creationId xmlns:a16="http://schemas.microsoft.com/office/drawing/2014/main" id="{01DCB466-3BCB-47B4-A4DF-722CFCAAF5CA}"/>
            </a:ext>
          </a:extLst>
        </xdr:cNvPr>
        <xdr:cNvSpPr>
          <a:spLocks noChangeShapeType="1"/>
        </xdr:cNvSpPr>
      </xdr:nvSpPr>
      <xdr:spPr bwMode="auto">
        <a:xfrm>
          <a:off x="4229100" y="16821150"/>
          <a:ext cx="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33</xdr:col>
      <xdr:colOff>0</xdr:colOff>
      <xdr:row>61</xdr:row>
      <xdr:rowOff>0</xdr:rowOff>
    </xdr:from>
    <xdr:to>
      <xdr:col>33</xdr:col>
      <xdr:colOff>47625</xdr:colOff>
      <xdr:row>61</xdr:row>
      <xdr:rowOff>0</xdr:rowOff>
    </xdr:to>
    <xdr:sp macro="" textlink="">
      <xdr:nvSpPr>
        <xdr:cNvPr id="10" name="Line 257">
          <a:extLst>
            <a:ext uri="{FF2B5EF4-FFF2-40B4-BE49-F238E27FC236}">
              <a16:creationId xmlns:a16="http://schemas.microsoft.com/office/drawing/2014/main" id="{9C0F6714-2880-4032-B37F-9DE3727FE197}"/>
            </a:ext>
          </a:extLst>
        </xdr:cNvPr>
        <xdr:cNvSpPr>
          <a:spLocks noChangeShapeType="1"/>
        </xdr:cNvSpPr>
      </xdr:nvSpPr>
      <xdr:spPr bwMode="auto">
        <a:xfrm flipH="1">
          <a:off x="9982200" y="16821150"/>
          <a:ext cx="47625"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40</xdr:col>
      <xdr:colOff>9525</xdr:colOff>
      <xdr:row>61</xdr:row>
      <xdr:rowOff>0</xdr:rowOff>
    </xdr:from>
    <xdr:to>
      <xdr:col>40</xdr:col>
      <xdr:colOff>57150</xdr:colOff>
      <xdr:row>61</xdr:row>
      <xdr:rowOff>0</xdr:rowOff>
    </xdr:to>
    <xdr:sp macro="" textlink="">
      <xdr:nvSpPr>
        <xdr:cNvPr id="11" name="Line 260">
          <a:extLst>
            <a:ext uri="{FF2B5EF4-FFF2-40B4-BE49-F238E27FC236}">
              <a16:creationId xmlns:a16="http://schemas.microsoft.com/office/drawing/2014/main" id="{5A7540E7-F5C5-48C7-83AC-7FF58D5E841A}"/>
            </a:ext>
          </a:extLst>
        </xdr:cNvPr>
        <xdr:cNvSpPr>
          <a:spLocks noChangeShapeType="1"/>
        </xdr:cNvSpPr>
      </xdr:nvSpPr>
      <xdr:spPr bwMode="auto">
        <a:xfrm>
          <a:off x="11906250" y="16821150"/>
          <a:ext cx="47625"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314325</xdr:colOff>
      <xdr:row>61</xdr:row>
      <xdr:rowOff>0</xdr:rowOff>
    </xdr:from>
    <xdr:to>
      <xdr:col>5</xdr:col>
      <xdr:colOff>314325</xdr:colOff>
      <xdr:row>61</xdr:row>
      <xdr:rowOff>0</xdr:rowOff>
    </xdr:to>
    <xdr:sp macro="" textlink="">
      <xdr:nvSpPr>
        <xdr:cNvPr id="12" name="Line 267">
          <a:extLst>
            <a:ext uri="{FF2B5EF4-FFF2-40B4-BE49-F238E27FC236}">
              <a16:creationId xmlns:a16="http://schemas.microsoft.com/office/drawing/2014/main" id="{A6F923E6-5BF8-4E5B-81FF-92E4210B10EB}"/>
            </a:ext>
          </a:extLst>
        </xdr:cNvPr>
        <xdr:cNvSpPr>
          <a:spLocks noChangeShapeType="1"/>
        </xdr:cNvSpPr>
      </xdr:nvSpPr>
      <xdr:spPr bwMode="auto">
        <a:xfrm>
          <a:off x="2266950" y="16821150"/>
          <a:ext cx="0" cy="0"/>
        </a:xfrm>
        <a:prstGeom prst="line">
          <a:avLst/>
        </a:prstGeom>
        <a:noFill/>
        <a:ln w="9525">
          <a:solidFill>
            <a:srgbClr val="969696"/>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40</xdr:col>
      <xdr:colOff>0</xdr:colOff>
      <xdr:row>61</xdr:row>
      <xdr:rowOff>0</xdr:rowOff>
    </xdr:from>
    <xdr:to>
      <xdr:col>40</xdr:col>
      <xdr:colOff>171450</xdr:colOff>
      <xdr:row>61</xdr:row>
      <xdr:rowOff>0</xdr:rowOff>
    </xdr:to>
    <xdr:sp macro="" textlink="">
      <xdr:nvSpPr>
        <xdr:cNvPr id="13" name="Line 275">
          <a:extLst>
            <a:ext uri="{FF2B5EF4-FFF2-40B4-BE49-F238E27FC236}">
              <a16:creationId xmlns:a16="http://schemas.microsoft.com/office/drawing/2014/main" id="{0EDA82F7-03C9-4E40-B47E-73DAF4F241DB}"/>
            </a:ext>
          </a:extLst>
        </xdr:cNvPr>
        <xdr:cNvSpPr>
          <a:spLocks noChangeShapeType="1"/>
        </xdr:cNvSpPr>
      </xdr:nvSpPr>
      <xdr:spPr bwMode="auto">
        <a:xfrm flipH="1">
          <a:off x="11896725" y="16821150"/>
          <a:ext cx="1714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33</xdr:col>
      <xdr:colOff>9525</xdr:colOff>
      <xdr:row>54</xdr:row>
      <xdr:rowOff>228600</xdr:rowOff>
    </xdr:from>
    <xdr:to>
      <xdr:col>35</xdr:col>
      <xdr:colOff>9525</xdr:colOff>
      <xdr:row>54</xdr:row>
      <xdr:rowOff>228600</xdr:rowOff>
    </xdr:to>
    <xdr:sp macro="" textlink="">
      <xdr:nvSpPr>
        <xdr:cNvPr id="14" name="Line 411">
          <a:extLst>
            <a:ext uri="{FF2B5EF4-FFF2-40B4-BE49-F238E27FC236}">
              <a16:creationId xmlns:a16="http://schemas.microsoft.com/office/drawing/2014/main" id="{8718EE41-430F-4BB9-BE28-7424BFADC965}"/>
            </a:ext>
          </a:extLst>
        </xdr:cNvPr>
        <xdr:cNvSpPr>
          <a:spLocks noChangeShapeType="1"/>
        </xdr:cNvSpPr>
      </xdr:nvSpPr>
      <xdr:spPr bwMode="auto">
        <a:xfrm flipV="1">
          <a:off x="9991725" y="14668500"/>
          <a:ext cx="342900" cy="0"/>
        </a:xfrm>
        <a:prstGeom prst="line">
          <a:avLst/>
        </a:prstGeom>
        <a:noFill/>
        <a:ln w="9525">
          <a:solidFill>
            <a:srgbClr val="000000"/>
          </a:solidFill>
          <a:round/>
          <a:headEnd/>
          <a:tailEnd type="triangle" w="sm" len="sm"/>
        </a:ln>
        <a:extLst>
          <a:ext uri="{909E8E84-426E-40DD-AFC4-6F175D3DCCD1}">
            <a14:hiddenFill xmlns:a14="http://schemas.microsoft.com/office/drawing/2010/main">
              <a:noFill/>
            </a14:hiddenFill>
          </a:ext>
        </a:extLst>
      </xdr:spPr>
    </xdr:sp>
    <xdr:clientData/>
  </xdr:twoCellAnchor>
  <xdr:twoCellAnchor>
    <xdr:from>
      <xdr:col>12</xdr:col>
      <xdr:colOff>0</xdr:colOff>
      <xdr:row>87</xdr:row>
      <xdr:rowOff>257175</xdr:rowOff>
    </xdr:from>
    <xdr:to>
      <xdr:col>14</xdr:col>
      <xdr:colOff>28575</xdr:colOff>
      <xdr:row>87</xdr:row>
      <xdr:rowOff>257175</xdr:rowOff>
    </xdr:to>
    <xdr:sp macro="" textlink="">
      <xdr:nvSpPr>
        <xdr:cNvPr id="15" name="Line 44">
          <a:extLst>
            <a:ext uri="{FF2B5EF4-FFF2-40B4-BE49-F238E27FC236}">
              <a16:creationId xmlns:a16="http://schemas.microsoft.com/office/drawing/2014/main" id="{3A3E5D0A-BB78-4CB2-8F07-10B86FEB91F1}"/>
            </a:ext>
          </a:extLst>
        </xdr:cNvPr>
        <xdr:cNvSpPr>
          <a:spLocks noChangeShapeType="1"/>
        </xdr:cNvSpPr>
      </xdr:nvSpPr>
      <xdr:spPr bwMode="auto">
        <a:xfrm>
          <a:off x="4086225" y="25079325"/>
          <a:ext cx="5238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68</xdr:col>
      <xdr:colOff>171450</xdr:colOff>
      <xdr:row>83</xdr:row>
      <xdr:rowOff>381000</xdr:rowOff>
    </xdr:from>
    <xdr:to>
      <xdr:col>69</xdr:col>
      <xdr:colOff>0</xdr:colOff>
      <xdr:row>83</xdr:row>
      <xdr:rowOff>381000</xdr:rowOff>
    </xdr:to>
    <xdr:sp macro="" textlink="">
      <xdr:nvSpPr>
        <xdr:cNvPr id="16" name="Line 68">
          <a:extLst>
            <a:ext uri="{FF2B5EF4-FFF2-40B4-BE49-F238E27FC236}">
              <a16:creationId xmlns:a16="http://schemas.microsoft.com/office/drawing/2014/main" id="{8761987C-362E-4382-9D34-0B820E9D3A7B}"/>
            </a:ext>
          </a:extLst>
        </xdr:cNvPr>
        <xdr:cNvSpPr>
          <a:spLocks noChangeShapeType="1"/>
        </xdr:cNvSpPr>
      </xdr:nvSpPr>
      <xdr:spPr bwMode="auto">
        <a:xfrm>
          <a:off x="19840575" y="24088725"/>
          <a:ext cx="762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persons/person.xml><?xml version="1.0" encoding="utf-8"?>
<personList xmlns="http://schemas.microsoft.com/office/spreadsheetml/2018/threadedcomments" xmlns:x="http://schemas.openxmlformats.org/spreadsheetml/2006/main">
  <person displayName="laura katerine rojas pérez" id="{9667154E-E670-42D3-9ED5-67314D8337EB}" userId="9490e70b1ada3b42" providerId="Windows Live"/>
  <person displayName="MERLY JOHANA MEDINA AGUILAR" id="{983F8C8D-4697-453B-B3DE-8DE71CE152AA}" userId="S::merly.medina@unisimon.edu.co::8e1b8170-c4bf-4ace-859c-f24c5093f307" providerId="AD"/>
  <person displayName="YOLIMA ALARCON VASQUEZ" id="{E9AC2CD6-090E-47A1-9296-4461B5047FDA}" userId="S::yolima.alarcon@unisimon.edu.co::3b062ae8-1ce8-4fc3-b409-093d6cf1c2cb"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Q5" dT="2023-09-21T17:14:24.33" personId="{983F8C8D-4697-453B-B3DE-8DE71CE152AA}" id="{164F8621-B3F8-47C8-AB44-1C4140A0A8E6}">
    <text>Revisar, no se asignaron estos RA a ningún curso.</text>
  </threadedComment>
  <threadedComment ref="Q5" dT="2023-10-03T00:29:56.77" personId="{E9AC2CD6-090E-47A1-9296-4461B5047FDA}" id="{5FA058CA-9A52-4FFF-8CB5-1F49CA2AC7D2}" parentId="{164F8621-B3F8-47C8-AB44-1C4140A0A8E6}">
    <text>No se ubicaron porque no se adaptan a ninguno de nuestros cursos, se sugiere diseñar unas competencias más generales porque tienen elementos matemáticos que no se desarrollan en nuestros cursos</text>
  </threadedComment>
</ThreadedComments>
</file>

<file path=xl/threadedComments/threadedComment2.xml><?xml version="1.0" encoding="utf-8"?>
<ThreadedComments xmlns="http://schemas.microsoft.com/office/spreadsheetml/2018/threadedcomments" xmlns:x="http://schemas.openxmlformats.org/spreadsheetml/2006/main">
  <threadedComment ref="I11" dT="2025-02-21T14:03:57.32" personId="{9667154E-E670-42D3-9ED5-67314D8337EB}" id="{7FA64D2C-4594-4139-B4A6-05F8DA6FC9C6}">
    <text>Curso disciplinar básico que permite desarrollar COIL o clases espejo con otras universidades</text>
  </threadedComment>
  <threadedComment ref="J12" dT="2025-02-21T14:02:38.31" personId="{9667154E-E670-42D3-9ED5-67314D8337EB}" id="{E9066D2A-A38E-4872-8855-847DD9B10D36}">
    <text xml:space="preserve">Se incluyen práctica con lentes de realidad virtual, laboratorio de morfología, ambientes de az virtual, laboratorio virtual (aula extendida), </text>
  </threadedComment>
  <threadedComment ref="I13" dT="2025-02-21T14:05:51.97" personId="{9667154E-E670-42D3-9ED5-67314D8337EB}" id="{7D2444A4-F2E6-439C-8AF7-F10185FE8E7D}">
    <text xml:space="preserve">Curso disciplinar básico que permite desarrollar COIL o clases espejo con otras universidades
</text>
  </threadedComment>
  <threadedComment ref="J14" dT="2025-02-21T15:02:20.57" personId="{9667154E-E670-42D3-9ED5-67314D8337EB}" id="{AC7D9751-0A8E-4CE3-AB79-ABB4663C46B3}">
    <text xml:space="preserve">Se incluyen práctica con lentes de realidad virtual, laboratorio de morfología, ambientes de az virtual, laboratorio virtual (aula extendida), 
</text>
  </threadedComment>
  <threadedComment ref="F15" dT="2025-02-21T14:05:08.41" personId="{9667154E-E670-42D3-9ED5-67314D8337EB}" id="{A9FCDDB7-F91B-4808-AB98-B2A07C4BD176}">
    <text xml:space="preserve">Se incluye la línea educativa, por su naturaleza y coincidencia con la inclusión. </text>
  </threadedComment>
  <threadedComment ref="F16" dT="2025-02-21T14:07:27.26" personId="{9667154E-E670-42D3-9ED5-67314D8337EB}" id="{062B61BC-AC58-4A71-ADCC-39B35A868327}">
    <text>Se incluye al eje por el estudio de las diferencias individuales</text>
  </threadedComment>
  <threadedComment ref="E17" dT="2025-02-21T15:01:55.77" personId="{9667154E-E670-42D3-9ED5-67314D8337EB}" id="{727805E0-A69A-4C89-804A-C13BABBBCE8C}">
    <text xml:space="preserve">Se vincula la línea social al eje transversal sostenible debido a que estos cursos exploran cómo las interacciones sociales, las actitudes y los comportamientos individuales pueden influir en la adopción de prácticas sostenibles y en la promoción de cambios hacia un futuro más equitativo y resiliente </text>
  </threadedComment>
  <threadedComment ref="J20" dT="2025-02-21T14:08:53.12" personId="{9667154E-E670-42D3-9ED5-67314D8337EB}" id="{23B4DE29-4227-4A2D-A1C0-D07426997FEB}">
    <text>Manejo de herramientas de análisis de datos como SPSS</text>
  </threadedComment>
  <threadedComment ref="I21" dT="2025-02-21T14:10:28.44" personId="{9667154E-E670-42D3-9ED5-67314D8337EB}" id="{2CC7984E-3C3F-47FE-BB39-054BB035A94C}">
    <text xml:space="preserve">Revisar la mirada jurídica desde la perpectiva nacional e internacional </text>
  </threadedComment>
  <threadedComment ref="F22" dT="2025-02-21T14:12:50.34" personId="{9667154E-E670-42D3-9ED5-67314D8337EB}" id="{BADB144C-683D-4B83-A179-83E33C092ADA}">
    <text>Curso que aborda contenido coherente con la inclusión</text>
  </threadedComment>
  <threadedComment ref="J23" dT="2025-02-21T14:13:32.13" personId="{9667154E-E670-42D3-9ED5-67314D8337EB}" id="{1C23028B-9984-463F-9272-1910FCC94B99}">
    <text>Se incluyen practicas en el laboratorio de psicofisiologia (neuro-bio feedback)</text>
  </threadedComment>
  <threadedComment ref="F27" dT="2025-02-21T14:55:21.33" personId="{9667154E-E670-42D3-9ED5-67314D8337EB}" id="{867606C8-4D02-4A02-B358-044779F16F54}">
    <text>Se incluye la línea educativa, por su naturaleza y coincidencia con la inclusión</text>
  </threadedComment>
  <threadedComment ref="I28" dT="2025-02-21T14:17:13.70" personId="{9667154E-E670-42D3-9ED5-67314D8337EB}" id="{D8B51E68-B9A8-4702-973B-828B80DD26E3}">
    <text>En coherencia con la ruta de internacionalización ya establecida, para que en cada semestre se asocie un curso con el eje de internacionalización</text>
  </threadedComment>
  <threadedComment ref="I29" dT="2025-02-21T14:20:30.30" personId="{9667154E-E670-42D3-9ED5-67314D8337EB}" id="{3293213A-E4FA-4C58-887A-94CCEADAF07B}">
    <text xml:space="preserve">La psicología organizacional se elige en relación con la internacionalización porque permite comprender y adaptar estrategias de gestión del talento, clima laboral y liderazgo en contextos globales, facilitando la competitividad y la integración de las organizaciones en mercados internacionales. </text>
  </threadedComment>
  <threadedComment ref="F31" dT="2025-02-21T14:55:25.36" personId="{9667154E-E670-42D3-9ED5-67314D8337EB}" id="{EA059095-23C2-4AAC-92AE-69640125FE34}">
    <text>Se incluye la línea educativa, por su naturaleza y coincidencia con la inclusión</text>
  </threadedComment>
  <threadedComment ref="F34" dT="2025-02-21T14:55:31.41" personId="{9667154E-E670-42D3-9ED5-67314D8337EB}" id="{EC3D04F8-D9F8-48BC-963D-B9462AC0A45E}">
    <text xml:space="preserve">Curso que aborda contenido coherente con la inclusión
</text>
  </threadedComment>
  <threadedComment ref="F35" dT="2025-02-21T14:55:34.44" personId="{9667154E-E670-42D3-9ED5-67314D8337EB}" id="{4A817FD3-ACF4-4741-8658-C2B1BD90A30C}">
    <text>Se incluye la línea educativa, por su naturaleza y coincidencia con la inclusión</text>
  </threadedComment>
  <threadedComment ref="F37" dT="2025-02-21T14:55:50.34" personId="{9667154E-E670-42D3-9ED5-67314D8337EB}" id="{3A085308-9717-4054-9E57-EE197DA26423}">
    <text xml:space="preserve">Curso que aborda contenido coherente con la inclusión
</text>
  </threadedComment>
  <threadedComment ref="I39" dT="2025-02-21T15:05:04.79" personId="{9667154E-E670-42D3-9ED5-67314D8337EB}" id="{F48D27C5-94B5-4055-8F4B-D4D28DFCAB15}">
    <text xml:space="preserve">Se vinculan los cursos de psicologia forense a este eje puesto que estos permiten analizar y comparar enfoques, normativas y prácticas en distintos países, favoreciendo el intercambio de conocimientos y el desarrollo de estrategias globales para la evaluación e intervención en el ámbito legal y judicial. </text>
  </threadedComment>
  <threadedComment ref="F40" dT="2025-02-21T14:58:26.19" personId="{9667154E-E670-42D3-9ED5-67314D8337EB}" id="{4E5C40B5-4B21-47B5-BE79-8B965F8B136E}">
    <text xml:space="preserve">Curso que aborda contenido coherente con la inclusión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6AEE2-FB4E-4984-A245-5815335158C5}">
  <dimension ref="A1:CC65525"/>
  <sheetViews>
    <sheetView zoomScale="60" zoomScaleNormal="60" workbookViewId="0">
      <selection activeCell="I3" sqref="I3"/>
    </sheetView>
  </sheetViews>
  <sheetFormatPr baseColWidth="10" defaultColWidth="10.08203125" defaultRowHeight="15.5"/>
  <cols>
    <col min="1" max="1" width="5" style="126" customWidth="1"/>
    <col min="2" max="2" width="1.58203125" style="126" hidden="1" customWidth="1"/>
    <col min="3" max="3" width="5.83203125" style="126" customWidth="1"/>
    <col min="4" max="4" width="7.83203125" style="126" customWidth="1"/>
    <col min="5" max="5" width="6.83203125" style="126" customWidth="1"/>
    <col min="6" max="6" width="6" style="126" customWidth="1"/>
    <col min="7" max="7" width="1.33203125" style="142" customWidth="1"/>
    <col min="8" max="12" width="4.08203125" style="142" customWidth="1"/>
    <col min="13" max="14" width="3.25" style="142" customWidth="1"/>
    <col min="15" max="19" width="4.08203125" style="142" customWidth="1"/>
    <col min="20" max="21" width="2.25" style="142" customWidth="1"/>
    <col min="22" max="26" width="4.08203125" style="142" customWidth="1"/>
    <col min="27" max="28" width="2.25" style="142" customWidth="1"/>
    <col min="29" max="33" width="4.08203125" style="142" customWidth="1"/>
    <col min="34" max="35" width="2.25" style="142" customWidth="1"/>
    <col min="36" max="40" width="4.08203125" style="142" customWidth="1"/>
    <col min="41" max="41" width="2.25" style="142" customWidth="1"/>
    <col min="42" max="42" width="2.08203125" style="142" customWidth="1"/>
    <col min="43" max="47" width="4.08203125" style="142" customWidth="1"/>
    <col min="48" max="48" width="3.25" style="142" customWidth="1"/>
    <col min="49" max="49" width="2.58203125" style="142" customWidth="1"/>
    <col min="50" max="54" width="4.08203125" style="142" customWidth="1"/>
    <col min="55" max="55" width="2.58203125" style="142" customWidth="1"/>
    <col min="56" max="56" width="2.25" style="142" customWidth="1"/>
    <col min="57" max="61" width="4.08203125" style="142" customWidth="1"/>
    <col min="62" max="63" width="2.33203125" style="142" customWidth="1"/>
    <col min="64" max="67" width="4.08203125" style="142" customWidth="1"/>
    <col min="68" max="68" width="3.75" style="142" customWidth="1"/>
    <col min="69" max="69" width="3.25" style="142" customWidth="1"/>
    <col min="70" max="70" width="3.58203125" style="126" customWidth="1"/>
    <col min="71" max="71" width="5.5" style="126" customWidth="1"/>
    <col min="72" max="74" width="7.08203125" style="126" customWidth="1"/>
    <col min="75" max="75" width="5.33203125" style="126" customWidth="1"/>
    <col min="76" max="76" width="6.83203125" style="127" customWidth="1"/>
    <col min="77" max="77" width="4.5" style="126" customWidth="1"/>
    <col min="78" max="78" width="14.25" style="128" customWidth="1"/>
    <col min="79" max="79" width="7.58203125" style="126" customWidth="1"/>
    <col min="80" max="80" width="5" style="126" customWidth="1"/>
    <col min="81" max="16384" width="10.08203125" style="126"/>
  </cols>
  <sheetData>
    <row r="1" spans="1:81" ht="22.5" customHeight="1" thickBot="1">
      <c r="A1" s="896" t="s">
        <v>156</v>
      </c>
      <c r="B1" s="897"/>
      <c r="C1" s="900" t="s">
        <v>157</v>
      </c>
      <c r="D1" s="901" t="s">
        <v>158</v>
      </c>
      <c r="E1" s="901"/>
      <c r="F1" s="901"/>
      <c r="G1" s="893" t="s">
        <v>159</v>
      </c>
      <c r="H1" s="894"/>
      <c r="I1" s="894"/>
      <c r="J1" s="894"/>
      <c r="K1" s="894"/>
      <c r="L1" s="894"/>
      <c r="M1" s="895"/>
      <c r="N1" s="893" t="s">
        <v>160</v>
      </c>
      <c r="O1" s="894"/>
      <c r="P1" s="894"/>
      <c r="Q1" s="894"/>
      <c r="R1" s="894"/>
      <c r="S1" s="894"/>
      <c r="T1" s="895"/>
      <c r="U1" s="893" t="s">
        <v>161</v>
      </c>
      <c r="V1" s="894"/>
      <c r="W1" s="894"/>
      <c r="X1" s="894"/>
      <c r="Y1" s="894"/>
      <c r="Z1" s="894"/>
      <c r="AA1" s="895"/>
      <c r="AB1" s="893" t="s">
        <v>162</v>
      </c>
      <c r="AC1" s="894"/>
      <c r="AD1" s="894"/>
      <c r="AE1" s="894"/>
      <c r="AF1" s="894"/>
      <c r="AG1" s="894"/>
      <c r="AH1" s="895"/>
      <c r="AI1" s="893" t="s">
        <v>163</v>
      </c>
      <c r="AJ1" s="894"/>
      <c r="AK1" s="894"/>
      <c r="AL1" s="894"/>
      <c r="AM1" s="894"/>
      <c r="AN1" s="894"/>
      <c r="AO1" s="895"/>
      <c r="AP1" s="893" t="s">
        <v>164</v>
      </c>
      <c r="AQ1" s="894"/>
      <c r="AR1" s="894"/>
      <c r="AS1" s="894"/>
      <c r="AT1" s="894"/>
      <c r="AU1" s="894"/>
      <c r="AV1" s="895"/>
      <c r="AW1" s="893" t="s">
        <v>165</v>
      </c>
      <c r="AX1" s="894"/>
      <c r="AY1" s="894"/>
      <c r="AZ1" s="894"/>
      <c r="BA1" s="894"/>
      <c r="BB1" s="894"/>
      <c r="BC1" s="895"/>
      <c r="BD1" s="893" t="s">
        <v>166</v>
      </c>
      <c r="BE1" s="894"/>
      <c r="BF1" s="894"/>
      <c r="BG1" s="894"/>
      <c r="BH1" s="894"/>
      <c r="BI1" s="894"/>
      <c r="BJ1" s="895"/>
      <c r="BK1" s="893" t="s">
        <v>167</v>
      </c>
      <c r="BL1" s="894"/>
      <c r="BM1" s="894"/>
      <c r="BN1" s="894"/>
      <c r="BO1" s="894"/>
      <c r="BP1" s="894"/>
      <c r="BQ1" s="895"/>
    </row>
    <row r="2" spans="1:81" ht="21" customHeight="1" thickBot="1">
      <c r="A2" s="898"/>
      <c r="B2" s="899"/>
      <c r="C2" s="900"/>
      <c r="D2" s="901"/>
      <c r="E2" s="902"/>
      <c r="F2" s="902"/>
      <c r="G2" s="903" t="s">
        <v>65</v>
      </c>
      <c r="H2" s="891"/>
      <c r="I2" s="891"/>
      <c r="J2" s="891"/>
      <c r="K2" s="891"/>
      <c r="L2" s="891"/>
      <c r="M2" s="904"/>
      <c r="N2" s="129"/>
      <c r="O2" s="891" t="s">
        <v>69</v>
      </c>
      <c r="P2" s="891"/>
      <c r="Q2" s="891"/>
      <c r="R2" s="891"/>
      <c r="S2" s="891"/>
      <c r="T2" s="130"/>
      <c r="U2" s="131"/>
      <c r="V2" s="891" t="s">
        <v>74</v>
      </c>
      <c r="W2" s="891"/>
      <c r="X2" s="891"/>
      <c r="Y2" s="891"/>
      <c r="Z2" s="891"/>
      <c r="AA2" s="131"/>
      <c r="AB2" s="129"/>
      <c r="AC2" s="891" t="s">
        <v>79</v>
      </c>
      <c r="AD2" s="891"/>
      <c r="AE2" s="891"/>
      <c r="AF2" s="891"/>
      <c r="AG2" s="891"/>
      <c r="AH2" s="130"/>
      <c r="AI2" s="131"/>
      <c r="AJ2" s="891" t="s">
        <v>85</v>
      </c>
      <c r="AK2" s="891"/>
      <c r="AL2" s="891"/>
      <c r="AM2" s="891"/>
      <c r="AN2" s="891"/>
      <c r="AO2" s="131"/>
      <c r="AP2" s="129"/>
      <c r="AQ2" s="891" t="s">
        <v>90</v>
      </c>
      <c r="AR2" s="891"/>
      <c r="AS2" s="891"/>
      <c r="AT2" s="891"/>
      <c r="AU2" s="891"/>
      <c r="AV2" s="130"/>
      <c r="AW2" s="131"/>
      <c r="AX2" s="891" t="s">
        <v>143</v>
      </c>
      <c r="AY2" s="891"/>
      <c r="AZ2" s="891"/>
      <c r="BA2" s="891"/>
      <c r="BB2" s="891"/>
      <c r="BC2" s="131"/>
      <c r="BD2" s="129"/>
      <c r="BE2" s="891" t="s">
        <v>100</v>
      </c>
      <c r="BF2" s="891"/>
      <c r="BG2" s="891"/>
      <c r="BH2" s="891"/>
      <c r="BI2" s="891"/>
      <c r="BJ2" s="130"/>
      <c r="BK2" s="131"/>
      <c r="BL2" s="891" t="s">
        <v>103</v>
      </c>
      <c r="BM2" s="891"/>
      <c r="BN2" s="891"/>
      <c r="BO2" s="891"/>
      <c r="BP2" s="891"/>
      <c r="BQ2" s="131"/>
      <c r="BS2" s="132" t="s">
        <v>168</v>
      </c>
      <c r="BT2" s="132" t="s">
        <v>169</v>
      </c>
      <c r="BU2" s="133" t="s">
        <v>170</v>
      </c>
      <c r="BV2" s="133" t="s">
        <v>171</v>
      </c>
      <c r="BW2" s="132" t="s">
        <v>172</v>
      </c>
      <c r="BX2" s="134" t="s">
        <v>173</v>
      </c>
    </row>
    <row r="3" spans="1:81" ht="10" customHeight="1">
      <c r="A3" s="680" t="s">
        <v>174</v>
      </c>
      <c r="B3" s="135"/>
      <c r="C3" s="683" t="s">
        <v>175</v>
      </c>
      <c r="D3" s="690" t="s">
        <v>176</v>
      </c>
      <c r="E3" s="691"/>
      <c r="F3" s="692"/>
      <c r="G3" s="136"/>
      <c r="H3" s="137"/>
      <c r="I3" s="137"/>
      <c r="J3" s="137"/>
      <c r="K3" s="137"/>
      <c r="L3" s="137"/>
      <c r="M3" s="138"/>
      <c r="N3" s="139"/>
      <c r="O3" s="137"/>
      <c r="P3" s="137"/>
      <c r="Q3" s="137"/>
      <c r="R3" s="137"/>
      <c r="S3" s="137"/>
      <c r="T3" s="140"/>
      <c r="U3" s="138"/>
      <c r="V3" s="137"/>
      <c r="W3" s="137"/>
      <c r="X3" s="137"/>
      <c r="Y3" s="137"/>
      <c r="Z3" s="137"/>
      <c r="AA3" s="138"/>
      <c r="AB3" s="139"/>
      <c r="AC3" s="137"/>
      <c r="AD3" s="137"/>
      <c r="AE3" s="137"/>
      <c r="AF3" s="137"/>
      <c r="AG3" s="137"/>
      <c r="AH3" s="140"/>
      <c r="AI3" s="138"/>
      <c r="AJ3" s="137"/>
      <c r="AK3" s="137"/>
      <c r="AL3" s="137"/>
      <c r="AM3" s="137"/>
      <c r="AN3" s="137"/>
      <c r="AO3" s="138"/>
      <c r="AP3" s="139"/>
      <c r="AQ3" s="137"/>
      <c r="AR3" s="137"/>
      <c r="AS3" s="137"/>
      <c r="AT3" s="137"/>
      <c r="AU3" s="137"/>
      <c r="AV3" s="140"/>
      <c r="AW3" s="138"/>
      <c r="AX3" s="137"/>
      <c r="AY3" s="137"/>
      <c r="AZ3" s="137"/>
      <c r="BA3" s="137"/>
      <c r="BB3" s="137"/>
      <c r="BC3" s="138"/>
      <c r="BD3" s="139"/>
      <c r="BE3" s="137"/>
      <c r="BF3" s="137"/>
      <c r="BG3" s="137"/>
      <c r="BH3" s="137"/>
      <c r="BI3" s="137"/>
      <c r="BJ3" s="140"/>
      <c r="BK3" s="138"/>
      <c r="BL3" s="137"/>
      <c r="BM3" s="137"/>
      <c r="BN3" s="137"/>
      <c r="BO3" s="137"/>
      <c r="BP3" s="137"/>
      <c r="BQ3" s="138"/>
      <c r="BR3" s="141"/>
      <c r="BX3" s="878">
        <v>0.159</v>
      </c>
    </row>
    <row r="4" spans="1:81" ht="66.75" customHeight="1">
      <c r="A4" s="681"/>
      <c r="B4" s="135"/>
      <c r="C4" s="684"/>
      <c r="D4" s="690"/>
      <c r="E4" s="691"/>
      <c r="F4" s="692"/>
      <c r="G4" s="136"/>
      <c r="H4" s="879" t="s">
        <v>177</v>
      </c>
      <c r="I4" s="880"/>
      <c r="J4" s="880"/>
      <c r="K4" s="880"/>
      <c r="L4" s="881"/>
      <c r="M4" s="138"/>
      <c r="N4" s="139"/>
      <c r="O4" s="882" t="s">
        <v>178</v>
      </c>
      <c r="P4" s="883"/>
      <c r="Q4" s="883"/>
      <c r="R4" s="883"/>
      <c r="S4" s="884"/>
      <c r="T4" s="140"/>
      <c r="U4" s="138"/>
      <c r="V4" s="779"/>
      <c r="W4" s="779"/>
      <c r="X4" s="779"/>
      <c r="Y4" s="779"/>
      <c r="Z4" s="779"/>
      <c r="AA4" s="138"/>
      <c r="AB4" s="139"/>
      <c r="AH4" s="140"/>
      <c r="AI4" s="138"/>
      <c r="AJ4" s="137"/>
      <c r="AK4" s="137"/>
      <c r="AL4" s="137"/>
      <c r="AM4" s="137"/>
      <c r="AN4" s="137"/>
      <c r="AO4" s="138"/>
      <c r="AP4" s="139"/>
      <c r="AQ4" s="137"/>
      <c r="AR4" s="137"/>
      <c r="AS4" s="137"/>
      <c r="AT4" s="137"/>
      <c r="AU4" s="137"/>
      <c r="AV4" s="140"/>
      <c r="AW4" s="138"/>
      <c r="AX4" s="137"/>
      <c r="AY4" s="137"/>
      <c r="AZ4" s="137"/>
      <c r="BA4" s="137"/>
      <c r="BB4" s="137"/>
      <c r="BC4" s="138"/>
      <c r="BD4" s="139"/>
      <c r="BE4" s="137"/>
      <c r="BF4" s="137"/>
      <c r="BG4" s="137"/>
      <c r="BH4" s="137"/>
      <c r="BI4" s="137"/>
      <c r="BJ4" s="140"/>
      <c r="BK4" s="138"/>
      <c r="BL4" s="137"/>
      <c r="BM4" s="137"/>
      <c r="BN4" s="137"/>
      <c r="BO4" s="137"/>
      <c r="BP4" s="137"/>
      <c r="BQ4" s="138"/>
      <c r="BR4" s="141"/>
      <c r="BS4" s="885" t="s">
        <v>179</v>
      </c>
      <c r="BT4" s="886"/>
      <c r="BU4" s="886"/>
      <c r="BV4" s="886"/>
      <c r="BW4" s="887"/>
      <c r="BX4" s="878"/>
      <c r="CC4" s="819">
        <v>50</v>
      </c>
    </row>
    <row r="5" spans="1:81" ht="18" customHeight="1">
      <c r="A5" s="681"/>
      <c r="B5" s="143"/>
      <c r="C5" s="684"/>
      <c r="D5" s="690"/>
      <c r="E5" s="691"/>
      <c r="F5" s="692"/>
      <c r="G5" s="136"/>
      <c r="H5" s="144" t="s">
        <v>180</v>
      </c>
      <c r="I5" s="145">
        <v>3</v>
      </c>
      <c r="J5" s="145">
        <v>0</v>
      </c>
      <c r="K5" s="145">
        <v>6</v>
      </c>
      <c r="L5" s="146">
        <f>(SUM(I5*3)+(J5))*16/48</f>
        <v>3</v>
      </c>
      <c r="M5" s="138"/>
      <c r="N5" s="139"/>
      <c r="O5" s="144" t="s">
        <v>180</v>
      </c>
      <c r="P5" s="145">
        <v>3</v>
      </c>
      <c r="Q5" s="145">
        <v>0</v>
      </c>
      <c r="R5" s="145">
        <v>6</v>
      </c>
      <c r="S5" s="146">
        <f>(SUM(P5*3)+(Q5))*16/48</f>
        <v>3</v>
      </c>
      <c r="T5" s="140"/>
      <c r="U5" s="138"/>
      <c r="V5" s="147"/>
      <c r="W5" s="148"/>
      <c r="X5" s="148"/>
      <c r="Y5" s="148"/>
      <c r="Z5" s="149"/>
      <c r="AA5" s="138"/>
      <c r="AB5" s="139"/>
      <c r="AC5" s="148"/>
      <c r="AD5" s="148"/>
      <c r="AE5" s="148"/>
      <c r="AF5" s="148"/>
      <c r="AG5" s="149"/>
      <c r="AH5" s="140"/>
      <c r="AI5" s="138"/>
      <c r="AJ5" s="137"/>
      <c r="AK5" s="137"/>
      <c r="AL5" s="137"/>
      <c r="AM5" s="137"/>
      <c r="AN5" s="137"/>
      <c r="AO5" s="138"/>
      <c r="AP5" s="139"/>
      <c r="AQ5" s="137"/>
      <c r="AR5" s="137"/>
      <c r="AS5" s="137"/>
      <c r="AT5" s="137"/>
      <c r="AU5" s="137"/>
      <c r="AV5" s="140"/>
      <c r="AW5" s="138"/>
      <c r="AX5" s="137"/>
      <c r="AY5" s="137"/>
      <c r="AZ5" s="137"/>
      <c r="BA5" s="137"/>
      <c r="BB5" s="137"/>
      <c r="BC5" s="138"/>
      <c r="BD5" s="139"/>
      <c r="BE5" s="137"/>
      <c r="BF5" s="137"/>
      <c r="BG5" s="137"/>
      <c r="BH5" s="137"/>
      <c r="BI5" s="137"/>
      <c r="BJ5" s="140"/>
      <c r="BK5" s="138"/>
      <c r="BL5" s="137"/>
      <c r="BM5" s="137"/>
      <c r="BN5" s="137"/>
      <c r="BO5" s="137"/>
      <c r="BP5" s="137"/>
      <c r="BQ5" s="138"/>
      <c r="BR5" s="141"/>
      <c r="BS5" s="150" t="s">
        <v>168</v>
      </c>
      <c r="BT5" s="151">
        <f>SUM(I5+P5)</f>
        <v>6</v>
      </c>
      <c r="BU5" s="151">
        <v>0</v>
      </c>
      <c r="BV5" s="151">
        <v>12</v>
      </c>
      <c r="BW5" s="152">
        <v>6</v>
      </c>
      <c r="BX5" s="878"/>
      <c r="CC5" s="819"/>
    </row>
    <row r="6" spans="1:81" ht="10" customHeight="1" thickBot="1">
      <c r="A6" s="681"/>
      <c r="B6" s="143"/>
      <c r="C6" s="684"/>
      <c r="D6" s="693"/>
      <c r="E6" s="694"/>
      <c r="F6" s="695"/>
      <c r="G6" s="153"/>
      <c r="H6" s="154"/>
      <c r="I6" s="154"/>
      <c r="J6" s="154"/>
      <c r="K6" s="154"/>
      <c r="L6" s="154"/>
      <c r="M6" s="155"/>
      <c r="N6" s="156"/>
      <c r="O6" s="154"/>
      <c r="P6" s="154"/>
      <c r="Q6" s="154"/>
      <c r="R6" s="154"/>
      <c r="S6" s="154"/>
      <c r="T6" s="157"/>
      <c r="U6" s="155"/>
      <c r="V6" s="154"/>
      <c r="W6" s="154"/>
      <c r="X6" s="154"/>
      <c r="Y6" s="154"/>
      <c r="Z6" s="154"/>
      <c r="AA6" s="155"/>
      <c r="AB6" s="156"/>
      <c r="AC6" s="154"/>
      <c r="AD6" s="154"/>
      <c r="AE6" s="154"/>
      <c r="AF6" s="154"/>
      <c r="AG6" s="154"/>
      <c r="AH6" s="157"/>
      <c r="AI6" s="155"/>
      <c r="AJ6" s="154"/>
      <c r="AK6" s="154"/>
      <c r="AL6" s="154"/>
      <c r="AM6" s="154"/>
      <c r="AN6" s="154"/>
      <c r="AO6" s="155"/>
      <c r="AP6" s="156"/>
      <c r="AQ6" s="154"/>
      <c r="AR6" s="154"/>
      <c r="AS6" s="154"/>
      <c r="AT6" s="154"/>
      <c r="AU6" s="154"/>
      <c r="AV6" s="157"/>
      <c r="AW6" s="155"/>
      <c r="AX6" s="154"/>
      <c r="AY6" s="154"/>
      <c r="AZ6" s="154"/>
      <c r="BA6" s="154"/>
      <c r="BB6" s="154"/>
      <c r="BC6" s="155"/>
      <c r="BD6" s="156"/>
      <c r="BE6" s="154"/>
      <c r="BF6" s="154"/>
      <c r="BG6" s="154"/>
      <c r="BH6" s="154"/>
      <c r="BI6" s="154"/>
      <c r="BJ6" s="157"/>
      <c r="BK6" s="155"/>
      <c r="BL6" s="154"/>
      <c r="BM6" s="154"/>
      <c r="BN6" s="154"/>
      <c r="BO6" s="154"/>
      <c r="BP6" s="154"/>
      <c r="BQ6" s="155"/>
      <c r="BR6" s="141"/>
      <c r="BX6" s="878"/>
      <c r="CC6" s="819"/>
    </row>
    <row r="7" spans="1:81" ht="10" customHeight="1">
      <c r="A7" s="681"/>
      <c r="B7" s="143"/>
      <c r="C7" s="684"/>
      <c r="D7" s="820" t="s">
        <v>181</v>
      </c>
      <c r="E7" s="821"/>
      <c r="F7" s="822"/>
      <c r="G7" s="158"/>
      <c r="H7" s="159"/>
      <c r="I7" s="159"/>
      <c r="J7" s="159"/>
      <c r="K7" s="159"/>
      <c r="L7" s="159"/>
      <c r="M7" s="159"/>
      <c r="N7" s="160"/>
      <c r="O7" s="159"/>
      <c r="P7" s="159"/>
      <c r="Q7" s="159"/>
      <c r="R7" s="159"/>
      <c r="S7" s="159"/>
      <c r="T7" s="161"/>
      <c r="U7" s="159"/>
      <c r="V7" s="159"/>
      <c r="W7" s="159"/>
      <c r="X7" s="159"/>
      <c r="Y7" s="159"/>
      <c r="Z7" s="159"/>
      <c r="AA7" s="159"/>
      <c r="AB7" s="160"/>
      <c r="AC7" s="159"/>
      <c r="AD7" s="159"/>
      <c r="AE7" s="159"/>
      <c r="AF7" s="159"/>
      <c r="AG7" s="159"/>
      <c r="AH7" s="161"/>
      <c r="AI7" s="159"/>
      <c r="AJ7" s="159"/>
      <c r="AK7" s="159"/>
      <c r="AL7" s="159"/>
      <c r="AM7" s="159"/>
      <c r="AN7" s="159"/>
      <c r="AO7" s="159"/>
      <c r="AP7" s="160"/>
      <c r="AQ7" s="162"/>
      <c r="AR7" s="162"/>
      <c r="AS7" s="162"/>
      <c r="AT7" s="162"/>
      <c r="AU7" s="162"/>
      <c r="AV7" s="163"/>
      <c r="AW7" s="162"/>
      <c r="AX7" s="162"/>
      <c r="AY7" s="162"/>
      <c r="AZ7" s="162"/>
      <c r="BA7" s="162"/>
      <c r="BB7" s="162"/>
      <c r="BC7" s="162"/>
      <c r="BD7" s="164"/>
      <c r="BE7" s="162"/>
      <c r="BF7" s="162"/>
      <c r="BG7" s="162"/>
      <c r="BH7" s="162"/>
      <c r="BI7" s="162"/>
      <c r="BJ7" s="163"/>
      <c r="BK7" s="162"/>
      <c r="BL7" s="162"/>
      <c r="BM7" s="162"/>
      <c r="BN7" s="162"/>
      <c r="BO7" s="162"/>
      <c r="BP7" s="162"/>
      <c r="BQ7" s="162"/>
      <c r="BR7" s="141"/>
      <c r="BX7" s="878"/>
      <c r="CC7" s="819"/>
    </row>
    <row r="8" spans="1:81" ht="65.25" customHeight="1">
      <c r="A8" s="681"/>
      <c r="B8" s="143"/>
      <c r="C8" s="684"/>
      <c r="D8" s="823"/>
      <c r="E8" s="824"/>
      <c r="F8" s="825"/>
      <c r="G8" s="165"/>
      <c r="H8" s="871" t="s">
        <v>182</v>
      </c>
      <c r="I8" s="872"/>
      <c r="J8" s="872"/>
      <c r="K8" s="872"/>
      <c r="L8" s="873"/>
      <c r="N8" s="166"/>
      <c r="O8" s="871" t="s">
        <v>183</v>
      </c>
      <c r="P8" s="872"/>
      <c r="Q8" s="872"/>
      <c r="R8" s="872"/>
      <c r="S8" s="873"/>
      <c r="T8" s="167"/>
      <c r="AB8" s="166"/>
      <c r="AH8" s="167"/>
      <c r="AP8" s="166"/>
      <c r="AV8" s="167"/>
      <c r="BD8" s="166"/>
      <c r="BJ8" s="167"/>
      <c r="BR8" s="141"/>
      <c r="BS8" s="679" t="s">
        <v>184</v>
      </c>
      <c r="BT8" s="877"/>
      <c r="BU8" s="877"/>
      <c r="BV8" s="877"/>
      <c r="BW8" s="892"/>
      <c r="BX8" s="878"/>
      <c r="CC8" s="819"/>
    </row>
    <row r="9" spans="1:81" ht="20.25" customHeight="1">
      <c r="A9" s="681"/>
      <c r="B9" s="143"/>
      <c r="C9" s="684"/>
      <c r="D9" s="823"/>
      <c r="E9" s="824"/>
      <c r="F9" s="825"/>
      <c r="G9" s="165"/>
      <c r="H9" s="144" t="s">
        <v>180</v>
      </c>
      <c r="I9" s="145">
        <v>2</v>
      </c>
      <c r="J9" s="145">
        <v>1</v>
      </c>
      <c r="K9" s="145">
        <v>3</v>
      </c>
      <c r="L9" s="146">
        <v>2</v>
      </c>
      <c r="N9" s="166"/>
      <c r="O9" s="144" t="s">
        <v>180</v>
      </c>
      <c r="P9" s="145">
        <v>2</v>
      </c>
      <c r="Q9" s="145">
        <v>1</v>
      </c>
      <c r="R9" s="145">
        <v>3</v>
      </c>
      <c r="S9" s="146">
        <f>(SUM(P9*3)+(Q9))*16/48</f>
        <v>2.3333333333333335</v>
      </c>
      <c r="T9" s="167"/>
      <c r="AB9" s="166"/>
      <c r="AH9" s="167"/>
      <c r="AP9" s="166"/>
      <c r="AV9" s="167"/>
      <c r="BD9" s="166"/>
      <c r="BJ9" s="167"/>
      <c r="BR9" s="141"/>
      <c r="BS9" s="168" t="s">
        <v>168</v>
      </c>
      <c r="BT9" s="169">
        <f>I9+P9</f>
        <v>4</v>
      </c>
      <c r="BU9" s="169">
        <f>J9+Q9</f>
        <v>2</v>
      </c>
      <c r="BV9" s="169">
        <f>K9+R9</f>
        <v>6</v>
      </c>
      <c r="BW9" s="170">
        <f>L9+S9</f>
        <v>4.3333333333333339</v>
      </c>
      <c r="BX9" s="878"/>
      <c r="CC9" s="819"/>
    </row>
    <row r="10" spans="1:81" ht="10" customHeight="1" thickBot="1">
      <c r="A10" s="681"/>
      <c r="B10" s="143"/>
      <c r="C10" s="684"/>
      <c r="D10" s="826"/>
      <c r="E10" s="827"/>
      <c r="F10" s="828"/>
      <c r="G10" s="165"/>
      <c r="N10" s="166"/>
      <c r="T10" s="167"/>
      <c r="AB10" s="166"/>
      <c r="AH10" s="167"/>
      <c r="AP10" s="166"/>
      <c r="AV10" s="167"/>
      <c r="BD10" s="166"/>
      <c r="BJ10" s="167"/>
      <c r="BR10" s="141"/>
      <c r="BX10" s="878"/>
      <c r="CC10" s="819"/>
    </row>
    <row r="11" spans="1:81" ht="10" customHeight="1">
      <c r="A11" s="681"/>
      <c r="B11" s="143"/>
      <c r="C11" s="684"/>
      <c r="D11" s="888" t="s">
        <v>185</v>
      </c>
      <c r="E11" s="889"/>
      <c r="F11" s="890"/>
      <c r="G11" s="171"/>
      <c r="H11" s="172"/>
      <c r="I11" s="172"/>
      <c r="J11" s="172"/>
      <c r="K11" s="172"/>
      <c r="L11" s="172"/>
      <c r="M11" s="172"/>
      <c r="N11" s="173"/>
      <c r="O11" s="172"/>
      <c r="P11" s="172"/>
      <c r="Q11" s="172"/>
      <c r="R11" s="172"/>
      <c r="S11" s="172"/>
      <c r="T11" s="174"/>
      <c r="U11" s="172"/>
      <c r="V11" s="172"/>
      <c r="W11" s="172"/>
      <c r="X11" s="172"/>
      <c r="Y11" s="172"/>
      <c r="Z11" s="172"/>
      <c r="AA11" s="172"/>
      <c r="AB11" s="173"/>
      <c r="AC11" s="172"/>
      <c r="AD11" s="172"/>
      <c r="AE11" s="172"/>
      <c r="AF11" s="172"/>
      <c r="AG11" s="172"/>
      <c r="AH11" s="174"/>
      <c r="AI11" s="172"/>
      <c r="AJ11" s="172"/>
      <c r="AK11" s="172"/>
      <c r="AL11" s="172"/>
      <c r="AM11" s="172"/>
      <c r="AN11" s="172"/>
      <c r="AO11" s="172"/>
      <c r="AP11" s="173"/>
      <c r="AQ11" s="172"/>
      <c r="AR11" s="172"/>
      <c r="AS11" s="172"/>
      <c r="AT11" s="172"/>
      <c r="AU11" s="172"/>
      <c r="AV11" s="174"/>
      <c r="AW11" s="172"/>
      <c r="AX11" s="172"/>
      <c r="AY11" s="172"/>
      <c r="AZ11" s="172"/>
      <c r="BA11" s="172"/>
      <c r="BB11" s="172"/>
      <c r="BC11" s="172"/>
      <c r="BD11" s="173"/>
      <c r="BE11" s="172"/>
      <c r="BF11" s="172"/>
      <c r="BG11" s="172"/>
      <c r="BH11" s="172"/>
      <c r="BI11" s="172"/>
      <c r="BJ11" s="174"/>
      <c r="BK11" s="172"/>
      <c r="BL11" s="172"/>
      <c r="BM11" s="172"/>
      <c r="BN11" s="172"/>
      <c r="BO11" s="172"/>
      <c r="BP11" s="172"/>
      <c r="BQ11" s="172"/>
      <c r="BR11" s="141"/>
      <c r="BX11" s="878"/>
      <c r="CC11" s="819"/>
    </row>
    <row r="12" spans="1:81" ht="51.75" customHeight="1">
      <c r="A12" s="681"/>
      <c r="B12" s="143"/>
      <c r="C12" s="684"/>
      <c r="D12" s="823"/>
      <c r="E12" s="824"/>
      <c r="F12" s="825"/>
      <c r="G12" s="165"/>
      <c r="N12" s="166"/>
      <c r="O12" s="674"/>
      <c r="P12" s="674"/>
      <c r="Q12" s="674"/>
      <c r="R12" s="674"/>
      <c r="S12" s="674"/>
      <c r="T12" s="175"/>
      <c r="U12" s="176"/>
      <c r="V12" s="831" t="s">
        <v>186</v>
      </c>
      <c r="W12" s="832"/>
      <c r="X12" s="832"/>
      <c r="Y12" s="832"/>
      <c r="Z12" s="833"/>
      <c r="AB12" s="166"/>
      <c r="AC12" s="831" t="s">
        <v>187</v>
      </c>
      <c r="AD12" s="832"/>
      <c r="AE12" s="832"/>
      <c r="AF12" s="832"/>
      <c r="AG12" s="833"/>
      <c r="AH12" s="167"/>
      <c r="AP12" s="166"/>
      <c r="AV12" s="167"/>
      <c r="BD12" s="166"/>
      <c r="BJ12" s="167"/>
      <c r="BR12" s="141"/>
      <c r="BS12" s="849" t="s">
        <v>188</v>
      </c>
      <c r="BT12" s="850"/>
      <c r="BU12" s="850"/>
      <c r="BV12" s="850"/>
      <c r="BW12" s="855"/>
      <c r="BX12" s="878"/>
      <c r="CC12" s="819"/>
    </row>
    <row r="13" spans="1:81" ht="15" customHeight="1">
      <c r="A13" s="681"/>
      <c r="B13" s="143"/>
      <c r="C13" s="684"/>
      <c r="D13" s="823"/>
      <c r="E13" s="824"/>
      <c r="F13" s="825"/>
      <c r="G13" s="165"/>
      <c r="N13" s="166"/>
      <c r="O13" s="147"/>
      <c r="P13" s="148"/>
      <c r="Q13" s="148"/>
      <c r="R13" s="148"/>
      <c r="S13" s="149"/>
      <c r="T13" s="167"/>
      <c r="V13" s="144" t="s">
        <v>180</v>
      </c>
      <c r="W13" s="145">
        <v>2</v>
      </c>
      <c r="X13" s="145">
        <v>0</v>
      </c>
      <c r="Y13" s="145">
        <v>4</v>
      </c>
      <c r="Z13" s="146">
        <v>2</v>
      </c>
      <c r="AB13" s="166"/>
      <c r="AC13" s="144" t="s">
        <v>180</v>
      </c>
      <c r="AD13" s="145">
        <v>2</v>
      </c>
      <c r="AE13" s="145">
        <v>0</v>
      </c>
      <c r="AF13" s="145">
        <v>4</v>
      </c>
      <c r="AG13" s="146">
        <v>2</v>
      </c>
      <c r="AH13" s="167"/>
      <c r="AP13" s="166"/>
      <c r="AV13" s="167"/>
      <c r="BD13" s="166"/>
      <c r="BJ13" s="167"/>
      <c r="BR13" s="141"/>
      <c r="BS13" s="177" t="s">
        <v>168</v>
      </c>
      <c r="BT13" s="178">
        <f>P13+W13</f>
        <v>2</v>
      </c>
      <c r="BU13" s="178">
        <f>Q13+X13</f>
        <v>0</v>
      </c>
      <c r="BV13" s="178">
        <v>8</v>
      </c>
      <c r="BW13" s="179">
        <v>4</v>
      </c>
      <c r="BX13" s="878"/>
      <c r="CC13" s="819"/>
    </row>
    <row r="14" spans="1:81" ht="10" customHeight="1" thickBot="1">
      <c r="A14" s="681"/>
      <c r="B14" s="143"/>
      <c r="C14" s="684"/>
      <c r="D14" s="826"/>
      <c r="E14" s="827"/>
      <c r="F14" s="828"/>
      <c r="G14" s="180"/>
      <c r="H14" s="181"/>
      <c r="I14" s="181"/>
      <c r="J14" s="181"/>
      <c r="K14" s="181"/>
      <c r="L14" s="182"/>
      <c r="M14" s="183"/>
      <c r="N14" s="184"/>
      <c r="O14" s="181"/>
      <c r="P14" s="181"/>
      <c r="Q14" s="181"/>
      <c r="R14" s="181"/>
      <c r="S14" s="182"/>
      <c r="T14" s="185"/>
      <c r="U14" s="183"/>
      <c r="V14" s="181"/>
      <c r="W14" s="181"/>
      <c r="X14" s="181"/>
      <c r="Y14" s="181"/>
      <c r="Z14" s="182"/>
      <c r="AA14" s="183"/>
      <c r="AB14" s="184"/>
      <c r="AC14" s="183"/>
      <c r="AD14" s="183"/>
      <c r="AE14" s="183"/>
      <c r="AF14" s="183"/>
      <c r="AG14" s="183"/>
      <c r="AH14" s="185"/>
      <c r="AI14" s="183"/>
      <c r="AJ14" s="183"/>
      <c r="AK14" s="183"/>
      <c r="AL14" s="183"/>
      <c r="AM14" s="183"/>
      <c r="AN14" s="183"/>
      <c r="AO14" s="183"/>
      <c r="AP14" s="184"/>
      <c r="AQ14" s="183"/>
      <c r="AR14" s="183"/>
      <c r="AS14" s="183"/>
      <c r="AT14" s="183"/>
      <c r="AU14" s="183"/>
      <c r="AV14" s="185"/>
      <c r="AW14" s="183"/>
      <c r="AX14" s="183"/>
      <c r="AY14" s="183"/>
      <c r="AZ14" s="183"/>
      <c r="BA14" s="183"/>
      <c r="BB14" s="183"/>
      <c r="BC14" s="183"/>
      <c r="BD14" s="184"/>
      <c r="BE14" s="183"/>
      <c r="BF14" s="183"/>
      <c r="BG14" s="183"/>
      <c r="BH14" s="183"/>
      <c r="BI14" s="183"/>
      <c r="BJ14" s="185"/>
      <c r="BK14" s="183"/>
      <c r="BL14" s="183"/>
      <c r="BM14" s="183"/>
      <c r="BN14" s="183"/>
      <c r="BO14" s="183"/>
      <c r="BP14" s="183"/>
      <c r="BQ14" s="183"/>
      <c r="BR14" s="141"/>
      <c r="BX14" s="878"/>
      <c r="CC14" s="819"/>
    </row>
    <row r="15" spans="1:81" ht="10" customHeight="1">
      <c r="A15" s="681"/>
      <c r="B15" s="143"/>
      <c r="C15" s="684"/>
      <c r="D15" s="888" t="s">
        <v>189</v>
      </c>
      <c r="E15" s="889"/>
      <c r="F15" s="890"/>
      <c r="G15" s="165"/>
      <c r="H15" s="148"/>
      <c r="I15" s="148"/>
      <c r="J15" s="148"/>
      <c r="K15" s="148"/>
      <c r="L15" s="149"/>
      <c r="N15" s="166"/>
      <c r="O15" s="148"/>
      <c r="P15" s="148"/>
      <c r="Q15" s="148"/>
      <c r="R15" s="148"/>
      <c r="S15" s="149"/>
      <c r="T15" s="167"/>
      <c r="V15" s="148"/>
      <c r="W15" s="148"/>
      <c r="X15" s="148"/>
      <c r="Y15" s="148"/>
      <c r="Z15" s="149"/>
      <c r="AB15" s="166"/>
      <c r="AH15" s="167"/>
      <c r="AP15" s="166"/>
      <c r="AV15" s="167"/>
      <c r="BD15" s="166"/>
      <c r="BJ15" s="167"/>
      <c r="BR15" s="141"/>
      <c r="BX15" s="878"/>
      <c r="CC15" s="819"/>
    </row>
    <row r="16" spans="1:81" ht="51.75" customHeight="1">
      <c r="A16" s="681"/>
      <c r="B16" s="143"/>
      <c r="C16" s="684"/>
      <c r="D16" s="823"/>
      <c r="E16" s="824"/>
      <c r="F16" s="825"/>
      <c r="G16" s="165"/>
      <c r="H16" s="843" t="s">
        <v>190</v>
      </c>
      <c r="I16" s="844"/>
      <c r="J16" s="844"/>
      <c r="K16" s="844"/>
      <c r="L16" s="845"/>
      <c r="N16" s="166"/>
      <c r="O16" s="779"/>
      <c r="P16" s="779"/>
      <c r="Q16" s="779"/>
      <c r="R16" s="779"/>
      <c r="S16" s="779"/>
      <c r="T16" s="167"/>
      <c r="V16" s="843" t="s">
        <v>191</v>
      </c>
      <c r="W16" s="844"/>
      <c r="X16" s="844"/>
      <c r="Y16" s="844"/>
      <c r="Z16" s="845"/>
      <c r="AB16" s="166"/>
      <c r="AC16" s="843" t="s">
        <v>192</v>
      </c>
      <c r="AD16" s="844"/>
      <c r="AE16" s="844"/>
      <c r="AF16" s="844"/>
      <c r="AG16" s="845"/>
      <c r="AH16" s="167"/>
      <c r="AJ16" s="779"/>
      <c r="AK16" s="779"/>
      <c r="AL16" s="779"/>
      <c r="AM16" s="779"/>
      <c r="AN16" s="779"/>
      <c r="AP16" s="166"/>
      <c r="AQ16" s="779"/>
      <c r="AR16" s="779"/>
      <c r="AS16" s="779"/>
      <c r="AT16" s="779"/>
      <c r="AU16" s="779"/>
      <c r="AV16" s="167"/>
      <c r="AX16" s="779"/>
      <c r="AY16" s="779"/>
      <c r="AZ16" s="779"/>
      <c r="BA16" s="779"/>
      <c r="BB16" s="779"/>
      <c r="BD16" s="166"/>
      <c r="BE16" s="779"/>
      <c r="BF16" s="779"/>
      <c r="BG16" s="779"/>
      <c r="BH16" s="779"/>
      <c r="BI16" s="779"/>
      <c r="BJ16" s="167"/>
      <c r="BL16" s="779"/>
      <c r="BM16" s="779"/>
      <c r="BN16" s="779"/>
      <c r="BO16" s="779"/>
      <c r="BP16" s="779"/>
      <c r="BR16" s="141"/>
      <c r="BS16" s="849" t="s">
        <v>193</v>
      </c>
      <c r="BT16" s="850"/>
      <c r="BU16" s="850"/>
      <c r="BV16" s="850"/>
      <c r="BW16" s="855"/>
      <c r="BX16" s="878"/>
      <c r="CC16" s="819"/>
    </row>
    <row r="17" spans="1:81" ht="18" customHeight="1">
      <c r="A17" s="681"/>
      <c r="B17" s="143"/>
      <c r="C17" s="684"/>
      <c r="D17" s="823"/>
      <c r="E17" s="824"/>
      <c r="F17" s="825"/>
      <c r="G17" s="165"/>
      <c r="H17" s="144" t="s">
        <v>180</v>
      </c>
      <c r="I17" s="145">
        <v>4</v>
      </c>
      <c r="J17" s="145">
        <v>0</v>
      </c>
      <c r="K17" s="145">
        <v>8</v>
      </c>
      <c r="L17" s="146">
        <v>4</v>
      </c>
      <c r="N17" s="166"/>
      <c r="O17" s="147"/>
      <c r="P17" s="148"/>
      <c r="Q17" s="148"/>
      <c r="R17" s="148"/>
      <c r="S17" s="149"/>
      <c r="T17" s="167"/>
      <c r="V17" s="144" t="s">
        <v>180</v>
      </c>
      <c r="W17" s="145">
        <v>3</v>
      </c>
      <c r="X17" s="145">
        <v>0</v>
      </c>
      <c r="Y17" s="145">
        <v>6</v>
      </c>
      <c r="Z17" s="146">
        <v>3</v>
      </c>
      <c r="AB17" s="166"/>
      <c r="AC17" s="144" t="s">
        <v>180</v>
      </c>
      <c r="AD17" s="145">
        <v>3</v>
      </c>
      <c r="AE17" s="145">
        <v>0</v>
      </c>
      <c r="AF17" s="145">
        <v>6</v>
      </c>
      <c r="AG17" s="146">
        <v>3</v>
      </c>
      <c r="AH17" s="167"/>
      <c r="AJ17" s="148"/>
      <c r="AK17" s="148"/>
      <c r="AL17" s="148"/>
      <c r="AM17" s="148"/>
      <c r="AN17" s="149"/>
      <c r="AP17" s="166"/>
      <c r="AQ17" s="147"/>
      <c r="AR17" s="148"/>
      <c r="AS17" s="148"/>
      <c r="AT17" s="148"/>
      <c r="AU17" s="149"/>
      <c r="AV17" s="167"/>
      <c r="AX17" s="148"/>
      <c r="AY17" s="148"/>
      <c r="AZ17" s="148"/>
      <c r="BA17" s="148"/>
      <c r="BB17" s="149"/>
      <c r="BD17" s="166"/>
      <c r="BE17" s="147"/>
      <c r="BF17" s="148"/>
      <c r="BG17" s="148"/>
      <c r="BH17" s="148"/>
      <c r="BI17" s="149"/>
      <c r="BJ17" s="167"/>
      <c r="BL17" s="148"/>
      <c r="BM17" s="148"/>
      <c r="BN17" s="148"/>
      <c r="BO17" s="148"/>
      <c r="BP17" s="149"/>
      <c r="BR17" s="141"/>
      <c r="BS17" s="177" t="s">
        <v>168</v>
      </c>
      <c r="BT17" s="178">
        <f>I17+P17+W17+AD17</f>
        <v>10</v>
      </c>
      <c r="BU17" s="178">
        <f>J17+Q17+X17+AE17</f>
        <v>0</v>
      </c>
      <c r="BV17" s="178">
        <f>K17+R17+Y17+AF17</f>
        <v>20</v>
      </c>
      <c r="BW17" s="179">
        <f>L17+S17+Z17+AG17</f>
        <v>10</v>
      </c>
      <c r="BX17" s="878"/>
      <c r="CC17" s="819"/>
    </row>
    <row r="18" spans="1:81" ht="28.5" customHeight="1" thickBot="1">
      <c r="A18" s="681"/>
      <c r="B18" s="143"/>
      <c r="C18" s="685"/>
      <c r="D18" s="826"/>
      <c r="E18" s="827"/>
      <c r="F18" s="828"/>
      <c r="G18" s="180"/>
      <c r="H18" s="181"/>
      <c r="I18" s="181"/>
      <c r="J18" s="181"/>
      <c r="K18" s="181"/>
      <c r="L18" s="182"/>
      <c r="M18" s="183"/>
      <c r="N18" s="184"/>
      <c r="O18" s="181"/>
      <c r="P18" s="181"/>
      <c r="Q18" s="181"/>
      <c r="R18" s="181"/>
      <c r="S18" s="182"/>
      <c r="T18" s="185"/>
      <c r="U18" s="183"/>
      <c r="V18" s="181"/>
      <c r="W18" s="181"/>
      <c r="X18" s="181"/>
      <c r="Y18" s="181"/>
      <c r="Z18" s="182"/>
      <c r="AA18" s="183"/>
      <c r="AB18" s="184"/>
      <c r="AC18" s="183"/>
      <c r="AD18" s="183"/>
      <c r="AE18" s="183"/>
      <c r="AF18" s="183"/>
      <c r="AG18" s="183"/>
      <c r="AH18" s="185"/>
      <c r="AI18" s="183"/>
      <c r="AJ18" s="183"/>
      <c r="AK18" s="183"/>
      <c r="AL18" s="183"/>
      <c r="AM18" s="183"/>
      <c r="AN18" s="183"/>
      <c r="AO18" s="183"/>
      <c r="AP18" s="184"/>
      <c r="AQ18" s="183"/>
      <c r="AR18" s="183"/>
      <c r="AS18" s="183"/>
      <c r="AT18" s="183"/>
      <c r="AU18" s="183"/>
      <c r="AV18" s="185"/>
      <c r="AW18" s="183"/>
      <c r="AX18" s="183"/>
      <c r="AY18" s="183"/>
      <c r="AZ18" s="183"/>
      <c r="BA18" s="183"/>
      <c r="BB18" s="183"/>
      <c r="BC18" s="183"/>
      <c r="BD18" s="184"/>
      <c r="BE18" s="183"/>
      <c r="BF18" s="183"/>
      <c r="BG18" s="183"/>
      <c r="BH18" s="183"/>
      <c r="BI18" s="183"/>
      <c r="BJ18" s="185"/>
      <c r="BK18" s="183"/>
      <c r="BL18" s="183"/>
      <c r="BM18" s="183"/>
      <c r="BN18" s="183"/>
      <c r="BO18" s="183"/>
      <c r="BP18" s="183"/>
      <c r="BQ18" s="183"/>
      <c r="BR18" s="186"/>
      <c r="BS18" s="187"/>
      <c r="BT18" s="187"/>
      <c r="BU18" s="187"/>
      <c r="BV18" s="187"/>
      <c r="BW18" s="187"/>
      <c r="BX18" s="878"/>
      <c r="CC18" s="819"/>
    </row>
    <row r="19" spans="1:81" ht="10" customHeight="1">
      <c r="A19" s="681"/>
      <c r="B19" s="143"/>
      <c r="C19" s="856" t="s">
        <v>194</v>
      </c>
      <c r="D19" s="857" t="s">
        <v>195</v>
      </c>
      <c r="E19" s="860" t="s">
        <v>196</v>
      </c>
      <c r="F19" s="861"/>
      <c r="G19" s="165"/>
      <c r="H19" s="148"/>
      <c r="I19" s="148"/>
      <c r="J19" s="148"/>
      <c r="K19" s="148"/>
      <c r="L19" s="149"/>
      <c r="N19" s="166"/>
      <c r="O19" s="148"/>
      <c r="P19" s="148"/>
      <c r="Q19" s="148"/>
      <c r="R19" s="148"/>
      <c r="S19" s="149"/>
      <c r="T19" s="167"/>
      <c r="V19" s="148"/>
      <c r="W19" s="148"/>
      <c r="X19" s="148"/>
      <c r="Y19" s="148"/>
      <c r="Z19" s="149"/>
      <c r="AB19" s="166"/>
      <c r="AH19" s="167"/>
      <c r="AP19" s="166"/>
      <c r="AV19" s="167"/>
      <c r="BD19" s="166"/>
      <c r="BJ19" s="167"/>
      <c r="BR19" s="188"/>
      <c r="BS19" s="189"/>
      <c r="BT19" s="189"/>
      <c r="BU19" s="189"/>
      <c r="BV19" s="189"/>
      <c r="BW19" s="189"/>
      <c r="BX19" s="701">
        <v>0.755</v>
      </c>
      <c r="CC19" s="819"/>
    </row>
    <row r="20" spans="1:81" ht="48" customHeight="1">
      <c r="A20" s="681"/>
      <c r="B20" s="143"/>
      <c r="C20" s="684"/>
      <c r="D20" s="858"/>
      <c r="E20" s="862"/>
      <c r="F20" s="863"/>
      <c r="G20" s="165"/>
      <c r="H20" s="779"/>
      <c r="I20" s="779"/>
      <c r="J20" s="779"/>
      <c r="K20" s="779"/>
      <c r="L20" s="779"/>
      <c r="N20" s="166"/>
      <c r="O20" s="779"/>
      <c r="P20" s="779"/>
      <c r="Q20" s="779"/>
      <c r="R20" s="779"/>
      <c r="S20" s="779"/>
      <c r="T20" s="167"/>
      <c r="V20" s="779"/>
      <c r="W20" s="779"/>
      <c r="X20" s="779"/>
      <c r="Y20" s="779"/>
      <c r="Z20" s="779"/>
      <c r="AB20" s="166"/>
      <c r="AC20" s="779"/>
      <c r="AD20" s="779"/>
      <c r="AE20" s="779"/>
      <c r="AF20" s="779"/>
      <c r="AG20" s="779"/>
      <c r="AH20" s="167"/>
      <c r="AJ20" s="843" t="s">
        <v>197</v>
      </c>
      <c r="AK20" s="844"/>
      <c r="AL20" s="844"/>
      <c r="AM20" s="844"/>
      <c r="AN20" s="845"/>
      <c r="AP20" s="166"/>
      <c r="AQ20" s="846" t="s">
        <v>198</v>
      </c>
      <c r="AR20" s="847"/>
      <c r="AS20" s="847"/>
      <c r="AT20" s="847"/>
      <c r="AU20" s="848"/>
      <c r="AV20" s="167"/>
      <c r="AX20" s="846" t="s">
        <v>199</v>
      </c>
      <c r="AY20" s="847"/>
      <c r="AZ20" s="847"/>
      <c r="BA20" s="847"/>
      <c r="BB20" s="848"/>
      <c r="BD20" s="166"/>
      <c r="BE20" s="846" t="s">
        <v>200</v>
      </c>
      <c r="BF20" s="847"/>
      <c r="BG20" s="847"/>
      <c r="BH20" s="847"/>
      <c r="BI20" s="848"/>
      <c r="BJ20" s="167"/>
      <c r="BL20" s="779"/>
      <c r="BM20" s="779"/>
      <c r="BN20" s="779"/>
      <c r="BO20" s="779"/>
      <c r="BP20" s="779"/>
      <c r="BR20" s="141"/>
      <c r="BX20" s="701"/>
      <c r="CC20" s="819"/>
    </row>
    <row r="21" spans="1:81" ht="18" customHeight="1">
      <c r="A21" s="681"/>
      <c r="B21" s="143"/>
      <c r="C21" s="684"/>
      <c r="D21" s="858"/>
      <c r="E21" s="862"/>
      <c r="F21" s="863"/>
      <c r="G21" s="165"/>
      <c r="H21" s="148"/>
      <c r="I21" s="148"/>
      <c r="J21" s="148"/>
      <c r="K21" s="148"/>
      <c r="L21" s="149"/>
      <c r="N21" s="166"/>
      <c r="O21" s="148"/>
      <c r="P21" s="148"/>
      <c r="Q21" s="148"/>
      <c r="R21" s="148"/>
      <c r="S21" s="149"/>
      <c r="T21" s="167"/>
      <c r="V21" s="148"/>
      <c r="W21" s="148"/>
      <c r="X21" s="148"/>
      <c r="Y21" s="148"/>
      <c r="Z21" s="149"/>
      <c r="AB21" s="166"/>
      <c r="AC21" s="148"/>
      <c r="AD21" s="148"/>
      <c r="AE21" s="148"/>
      <c r="AF21" s="148"/>
      <c r="AG21" s="149"/>
      <c r="AH21" s="167"/>
      <c r="AJ21" s="144" t="s">
        <v>201</v>
      </c>
      <c r="AK21" s="145">
        <v>1</v>
      </c>
      <c r="AL21" s="145">
        <v>1</v>
      </c>
      <c r="AM21" s="145">
        <v>2</v>
      </c>
      <c r="AN21" s="146">
        <v>1</v>
      </c>
      <c r="AP21" s="166"/>
      <c r="AQ21" s="190" t="s">
        <v>201</v>
      </c>
      <c r="AR21" s="191">
        <v>1</v>
      </c>
      <c r="AS21" s="191">
        <v>1</v>
      </c>
      <c r="AT21" s="191">
        <v>2</v>
      </c>
      <c r="AU21" s="192">
        <v>1</v>
      </c>
      <c r="AV21" s="167"/>
      <c r="AX21" s="190" t="s">
        <v>201</v>
      </c>
      <c r="AY21" s="191">
        <v>1</v>
      </c>
      <c r="AZ21" s="191">
        <v>1</v>
      </c>
      <c r="BA21" s="191">
        <v>2</v>
      </c>
      <c r="BB21" s="192">
        <v>1</v>
      </c>
      <c r="BD21" s="166"/>
      <c r="BE21" s="190" t="s">
        <v>201</v>
      </c>
      <c r="BF21" s="191">
        <v>1</v>
      </c>
      <c r="BG21" s="191">
        <v>1</v>
      </c>
      <c r="BH21" s="191">
        <v>2</v>
      </c>
      <c r="BI21" s="192">
        <v>1</v>
      </c>
      <c r="BJ21" s="167"/>
      <c r="BL21" s="147"/>
      <c r="BM21" s="148"/>
      <c r="BN21" s="148"/>
      <c r="BO21" s="148"/>
      <c r="BP21" s="149"/>
      <c r="BR21" s="141"/>
      <c r="BX21" s="701"/>
      <c r="CC21" s="819"/>
    </row>
    <row r="22" spans="1:81" ht="18" customHeight="1">
      <c r="A22" s="681"/>
      <c r="B22" s="143"/>
      <c r="C22" s="684"/>
      <c r="D22" s="858"/>
      <c r="E22" s="862"/>
      <c r="F22" s="863"/>
      <c r="G22" s="165"/>
      <c r="H22" s="148"/>
      <c r="I22" s="148"/>
      <c r="J22" s="148"/>
      <c r="K22" s="148"/>
      <c r="L22" s="149"/>
      <c r="N22" s="166"/>
      <c r="O22" s="148"/>
      <c r="P22" s="148"/>
      <c r="Q22" s="148"/>
      <c r="R22" s="148"/>
      <c r="S22" s="149"/>
      <c r="T22" s="167"/>
      <c r="V22" s="148"/>
      <c r="W22" s="148"/>
      <c r="X22" s="148"/>
      <c r="Y22" s="148"/>
      <c r="Z22" s="149"/>
      <c r="AB22" s="166"/>
      <c r="AH22" s="167"/>
      <c r="AP22" s="166"/>
      <c r="AR22" s="142" t="s">
        <v>202</v>
      </c>
      <c r="AV22" s="167"/>
      <c r="AY22" s="142" t="s">
        <v>202</v>
      </c>
      <c r="BD22" s="166"/>
      <c r="BF22" s="142" t="s">
        <v>202</v>
      </c>
      <c r="BJ22" s="167"/>
      <c r="BR22" s="141"/>
      <c r="BX22" s="701"/>
      <c r="CC22" s="819"/>
    </row>
    <row r="23" spans="1:81" ht="10" customHeight="1" thickBot="1">
      <c r="A23" s="681"/>
      <c r="B23" s="143"/>
      <c r="C23" s="684"/>
      <c r="D23" s="858"/>
      <c r="E23" s="864"/>
      <c r="F23" s="865"/>
      <c r="G23" s="180"/>
      <c r="H23" s="181"/>
      <c r="I23" s="181"/>
      <c r="J23" s="181"/>
      <c r="K23" s="181"/>
      <c r="L23" s="182"/>
      <c r="M23" s="183"/>
      <c r="N23" s="184"/>
      <c r="O23" s="181"/>
      <c r="P23" s="181"/>
      <c r="Q23" s="181"/>
      <c r="R23" s="181"/>
      <c r="S23" s="182"/>
      <c r="T23" s="185"/>
      <c r="U23" s="183"/>
      <c r="V23" s="181"/>
      <c r="W23" s="181"/>
      <c r="X23" s="181"/>
      <c r="Y23" s="181"/>
      <c r="Z23" s="182"/>
      <c r="AA23" s="183"/>
      <c r="AB23" s="184"/>
      <c r="AC23" s="183"/>
      <c r="AD23" s="183"/>
      <c r="AE23" s="183"/>
      <c r="AF23" s="183"/>
      <c r="AG23" s="183"/>
      <c r="AH23" s="185"/>
      <c r="AI23" s="183"/>
      <c r="AJ23" s="183"/>
      <c r="AK23" s="183"/>
      <c r="AL23" s="183"/>
      <c r="AM23" s="183"/>
      <c r="AN23" s="183"/>
      <c r="AO23" s="183"/>
      <c r="AP23" s="184"/>
      <c r="AQ23" s="183"/>
      <c r="AR23" s="183"/>
      <c r="AS23" s="183"/>
      <c r="AT23" s="183"/>
      <c r="AU23" s="183"/>
      <c r="AV23" s="185"/>
      <c r="AW23" s="183"/>
      <c r="AX23" s="183"/>
      <c r="AY23" s="183"/>
      <c r="AZ23" s="183"/>
      <c r="BA23" s="183"/>
      <c r="BB23" s="183"/>
      <c r="BC23" s="183"/>
      <c r="BD23" s="184"/>
      <c r="BE23" s="183"/>
      <c r="BF23" s="183"/>
      <c r="BG23" s="183"/>
      <c r="BH23" s="183"/>
      <c r="BI23" s="183"/>
      <c r="BJ23" s="185"/>
      <c r="BK23" s="183"/>
      <c r="BL23" s="183"/>
      <c r="BM23" s="183"/>
      <c r="BN23" s="183"/>
      <c r="BO23" s="183"/>
      <c r="BP23" s="183"/>
      <c r="BQ23" s="183"/>
      <c r="BR23" s="141"/>
      <c r="BX23" s="701"/>
      <c r="CC23" s="819"/>
    </row>
    <row r="24" spans="1:81" ht="10" customHeight="1">
      <c r="A24" s="681"/>
      <c r="B24" s="143"/>
      <c r="C24" s="684"/>
      <c r="D24" s="858"/>
      <c r="E24" s="866" t="s">
        <v>203</v>
      </c>
      <c r="F24" s="867"/>
      <c r="G24" s="165"/>
      <c r="H24" s="148"/>
      <c r="I24" s="148"/>
      <c r="J24" s="148"/>
      <c r="K24" s="148"/>
      <c r="L24" s="149"/>
      <c r="N24" s="166"/>
      <c r="O24" s="148"/>
      <c r="P24" s="148"/>
      <c r="Q24" s="148"/>
      <c r="R24" s="148"/>
      <c r="S24" s="149"/>
      <c r="T24" s="167"/>
      <c r="V24" s="148"/>
      <c r="W24" s="148"/>
      <c r="X24" s="148"/>
      <c r="Y24" s="148"/>
      <c r="Z24" s="149"/>
      <c r="AB24" s="166"/>
      <c r="AH24" s="167"/>
      <c r="AP24" s="166"/>
      <c r="AV24" s="167"/>
      <c r="BD24" s="166"/>
      <c r="BJ24" s="167"/>
      <c r="BR24" s="141"/>
      <c r="BX24" s="701"/>
      <c r="CC24" s="819"/>
    </row>
    <row r="25" spans="1:81" s="197" customFormat="1" ht="48" customHeight="1">
      <c r="A25" s="681"/>
      <c r="B25" s="143"/>
      <c r="C25" s="684"/>
      <c r="D25" s="858"/>
      <c r="E25" s="812"/>
      <c r="F25" s="813"/>
      <c r="G25" s="165"/>
      <c r="H25" s="831" t="s">
        <v>204</v>
      </c>
      <c r="I25" s="832"/>
      <c r="J25" s="832"/>
      <c r="K25" s="832"/>
      <c r="L25" s="833"/>
      <c r="M25" s="193"/>
      <c r="N25" s="194"/>
      <c r="O25" s="831" t="s">
        <v>205</v>
      </c>
      <c r="P25" s="832"/>
      <c r="Q25" s="832"/>
      <c r="R25" s="832"/>
      <c r="S25" s="833"/>
      <c r="T25" s="195"/>
      <c r="U25" s="193"/>
      <c r="V25" s="674"/>
      <c r="W25" s="674"/>
      <c r="X25" s="674"/>
      <c r="Y25" s="674"/>
      <c r="Z25" s="674"/>
      <c r="AA25" s="193"/>
      <c r="AB25" s="194"/>
      <c r="AC25" s="831" t="s">
        <v>80</v>
      </c>
      <c r="AD25" s="832"/>
      <c r="AE25" s="832"/>
      <c r="AF25" s="832"/>
      <c r="AG25" s="833"/>
      <c r="AH25" s="195"/>
      <c r="AI25" s="193"/>
      <c r="AJ25" s="831" t="s">
        <v>206</v>
      </c>
      <c r="AK25" s="832"/>
      <c r="AL25" s="832"/>
      <c r="AM25" s="832"/>
      <c r="AN25" s="833"/>
      <c r="AO25" s="193"/>
      <c r="AP25" s="194"/>
      <c r="AQ25" s="831" t="s">
        <v>207</v>
      </c>
      <c r="AR25" s="832"/>
      <c r="AS25" s="832"/>
      <c r="AT25" s="832"/>
      <c r="AU25" s="833"/>
      <c r="AV25" s="195"/>
      <c r="AW25" s="193"/>
      <c r="AX25" s="674"/>
      <c r="AY25" s="674"/>
      <c r="AZ25" s="674"/>
      <c r="BA25" s="674"/>
      <c r="BB25" s="674"/>
      <c r="BC25" s="193"/>
      <c r="BD25" s="194"/>
      <c r="BE25" s="674"/>
      <c r="BF25" s="674"/>
      <c r="BG25" s="674"/>
      <c r="BH25" s="674"/>
      <c r="BI25" s="674"/>
      <c r="BJ25" s="195"/>
      <c r="BK25" s="193"/>
      <c r="BL25" s="674"/>
      <c r="BM25" s="674"/>
      <c r="BN25" s="674"/>
      <c r="BO25" s="674"/>
      <c r="BP25" s="674"/>
      <c r="BQ25" s="193"/>
      <c r="BR25" s="196"/>
      <c r="BS25" s="849" t="s">
        <v>208</v>
      </c>
      <c r="BT25" s="850"/>
      <c r="BU25" s="850"/>
      <c r="BV25" s="850"/>
      <c r="BW25" s="850"/>
      <c r="BX25" s="701"/>
      <c r="BZ25" s="198"/>
      <c r="CC25" s="819"/>
    </row>
    <row r="26" spans="1:81" ht="18" customHeight="1">
      <c r="A26" s="681"/>
      <c r="B26" s="143"/>
      <c r="C26" s="684"/>
      <c r="D26" s="858"/>
      <c r="E26" s="812"/>
      <c r="F26" s="813"/>
      <c r="G26" s="165"/>
      <c r="H26" s="144" t="s">
        <v>180</v>
      </c>
      <c r="I26" s="145">
        <v>2</v>
      </c>
      <c r="J26" s="145">
        <v>0</v>
      </c>
      <c r="K26" s="145">
        <v>4</v>
      </c>
      <c r="L26" s="146">
        <f>(SUM(I26*3)+(J26))*16/48</f>
        <v>2</v>
      </c>
      <c r="N26" s="166"/>
      <c r="O26" s="144" t="s">
        <v>180</v>
      </c>
      <c r="P26" s="145">
        <v>3</v>
      </c>
      <c r="Q26" s="145">
        <v>0</v>
      </c>
      <c r="R26" s="145">
        <v>6</v>
      </c>
      <c r="S26" s="146">
        <f>(SUM(P26*3)+(Q26))*16/48</f>
        <v>3</v>
      </c>
      <c r="T26" s="167"/>
      <c r="V26" s="147"/>
      <c r="W26" s="148"/>
      <c r="X26" s="148"/>
      <c r="Y26" s="148"/>
      <c r="Z26" s="149"/>
      <c r="AB26" s="166"/>
      <c r="AC26" s="144" t="s">
        <v>209</v>
      </c>
      <c r="AD26" s="145">
        <v>2</v>
      </c>
      <c r="AE26" s="145">
        <v>1</v>
      </c>
      <c r="AF26" s="145">
        <v>3</v>
      </c>
      <c r="AG26" s="146">
        <v>2</v>
      </c>
      <c r="AH26" s="167"/>
      <c r="AJ26" s="144" t="s">
        <v>209</v>
      </c>
      <c r="AK26" s="145">
        <v>2</v>
      </c>
      <c r="AL26" s="145">
        <v>1</v>
      </c>
      <c r="AM26" s="145">
        <v>3</v>
      </c>
      <c r="AN26" s="146">
        <v>2</v>
      </c>
      <c r="AP26" s="166"/>
      <c r="AQ26" s="144" t="s">
        <v>209</v>
      </c>
      <c r="AR26" s="145">
        <v>2</v>
      </c>
      <c r="AS26" s="145">
        <v>1</v>
      </c>
      <c r="AT26" s="145">
        <v>3</v>
      </c>
      <c r="AU26" s="146">
        <v>2</v>
      </c>
      <c r="AV26" s="167"/>
      <c r="AX26" s="148"/>
      <c r="AY26" s="148"/>
      <c r="AZ26" s="148"/>
      <c r="BA26" s="148"/>
      <c r="BB26" s="149"/>
      <c r="BD26" s="166"/>
      <c r="BE26" s="148"/>
      <c r="BF26" s="148"/>
      <c r="BG26" s="148"/>
      <c r="BH26" s="148"/>
      <c r="BI26" s="149"/>
      <c r="BJ26" s="167"/>
      <c r="BL26" s="148"/>
      <c r="BM26" s="148"/>
      <c r="BN26" s="148"/>
      <c r="BO26" s="148"/>
      <c r="BP26" s="149"/>
      <c r="BR26" s="141"/>
      <c r="BS26" s="177" t="s">
        <v>168</v>
      </c>
      <c r="BT26" s="178">
        <v>17</v>
      </c>
      <c r="BU26" s="178">
        <v>8</v>
      </c>
      <c r="BV26" s="178">
        <v>30</v>
      </c>
      <c r="BW26" s="179">
        <v>17</v>
      </c>
      <c r="BX26" s="701"/>
      <c r="CC26" s="819"/>
    </row>
    <row r="27" spans="1:81" ht="18" customHeight="1">
      <c r="A27" s="681"/>
      <c r="B27" s="143"/>
      <c r="C27" s="684"/>
      <c r="D27" s="858"/>
      <c r="E27" s="812"/>
      <c r="F27" s="813"/>
      <c r="G27" s="165"/>
      <c r="H27" s="147"/>
      <c r="I27" s="148"/>
      <c r="J27" s="148"/>
      <c r="K27" s="148"/>
      <c r="L27" s="149"/>
      <c r="N27" s="166"/>
      <c r="O27" s="147"/>
      <c r="P27" s="148"/>
      <c r="Q27" s="148"/>
      <c r="R27" s="148"/>
      <c r="S27" s="149"/>
      <c r="T27" s="167"/>
      <c r="V27" s="147"/>
      <c r="W27" s="148"/>
      <c r="X27" s="148"/>
      <c r="Y27" s="148"/>
      <c r="Z27" s="149"/>
      <c r="AB27" s="166"/>
      <c r="AC27" s="147"/>
      <c r="AD27" s="148"/>
      <c r="AE27" s="148"/>
      <c r="AF27" s="148"/>
      <c r="AG27" s="149"/>
      <c r="AH27" s="167"/>
      <c r="AJ27" s="147"/>
      <c r="AK27" s="148"/>
      <c r="AL27" s="148"/>
      <c r="AM27" s="148"/>
      <c r="AN27" s="149"/>
      <c r="AP27" s="166"/>
      <c r="AQ27" s="147"/>
      <c r="AR27" s="148"/>
      <c r="AS27" s="148"/>
      <c r="AT27" s="148"/>
      <c r="AU27" s="149"/>
      <c r="AV27" s="167"/>
      <c r="AX27" s="148"/>
      <c r="AY27" s="148"/>
      <c r="AZ27" s="148"/>
      <c r="BA27" s="148"/>
      <c r="BB27" s="149"/>
      <c r="BD27" s="166"/>
      <c r="BE27" s="148"/>
      <c r="BF27" s="148"/>
      <c r="BG27" s="148"/>
      <c r="BH27" s="148"/>
      <c r="BI27" s="149"/>
      <c r="BJ27" s="167"/>
      <c r="BL27" s="148"/>
      <c r="BM27" s="148"/>
      <c r="BN27" s="148"/>
      <c r="BO27" s="148"/>
      <c r="BP27" s="149"/>
      <c r="BR27" s="141"/>
      <c r="BS27" s="199"/>
      <c r="BT27" s="200"/>
      <c r="BU27" s="200"/>
      <c r="BV27" s="200"/>
      <c r="BW27" s="200"/>
      <c r="BX27" s="701"/>
      <c r="CC27" s="819"/>
    </row>
    <row r="28" spans="1:81" ht="30.75" customHeight="1">
      <c r="A28" s="681"/>
      <c r="B28" s="143"/>
      <c r="C28" s="684"/>
      <c r="D28" s="858"/>
      <c r="E28" s="812"/>
      <c r="F28" s="813"/>
      <c r="G28" s="165"/>
      <c r="H28" s="147"/>
      <c r="I28" s="148"/>
      <c r="J28" s="148"/>
      <c r="K28" s="148"/>
      <c r="L28" s="149"/>
      <c r="N28" s="166"/>
      <c r="O28" s="147"/>
      <c r="P28" s="148"/>
      <c r="Q28" s="148"/>
      <c r="R28" s="148"/>
      <c r="S28" s="149"/>
      <c r="T28" s="167"/>
      <c r="V28" s="147"/>
      <c r="W28" s="148"/>
      <c r="X28" s="148"/>
      <c r="Y28" s="148"/>
      <c r="Z28" s="149"/>
      <c r="AB28" s="166"/>
      <c r="AC28" s="831" t="s">
        <v>210</v>
      </c>
      <c r="AD28" s="832"/>
      <c r="AE28" s="832"/>
      <c r="AF28" s="832"/>
      <c r="AG28" s="833"/>
      <c r="AH28" s="167"/>
      <c r="AJ28" s="147"/>
      <c r="AK28" s="148"/>
      <c r="AL28" s="148"/>
      <c r="AM28" s="148"/>
      <c r="AN28" s="149"/>
      <c r="AP28" s="166"/>
      <c r="AQ28" s="147"/>
      <c r="AR28" s="148"/>
      <c r="AS28" s="148"/>
      <c r="AT28" s="148"/>
      <c r="AU28" s="149"/>
      <c r="AV28" s="167"/>
      <c r="AX28" s="148"/>
      <c r="AY28" s="148"/>
      <c r="AZ28" s="148"/>
      <c r="BA28" s="148"/>
      <c r="BB28" s="149"/>
      <c r="BD28" s="166"/>
      <c r="BE28" s="148"/>
      <c r="BF28" s="148"/>
      <c r="BG28" s="148"/>
      <c r="BH28" s="148"/>
      <c r="BI28" s="149"/>
      <c r="BJ28" s="167"/>
      <c r="BL28" s="148"/>
      <c r="BM28" s="148"/>
      <c r="BN28" s="148"/>
      <c r="BO28" s="148"/>
      <c r="BP28" s="149"/>
      <c r="BR28" s="141"/>
      <c r="BS28" s="199"/>
      <c r="BT28" s="200"/>
      <c r="BU28" s="200"/>
      <c r="BV28" s="200"/>
      <c r="BW28" s="200"/>
      <c r="BX28" s="701"/>
      <c r="CC28" s="819"/>
    </row>
    <row r="29" spans="1:81" ht="18" customHeight="1">
      <c r="A29" s="681"/>
      <c r="B29" s="143"/>
      <c r="C29" s="684"/>
      <c r="D29" s="858"/>
      <c r="E29" s="812"/>
      <c r="F29" s="813"/>
      <c r="G29" s="165"/>
      <c r="H29" s="147"/>
      <c r="I29" s="148"/>
      <c r="J29" s="148"/>
      <c r="K29" s="148"/>
      <c r="L29" s="149"/>
      <c r="N29" s="166"/>
      <c r="O29" s="147"/>
      <c r="P29" s="148"/>
      <c r="Q29" s="148"/>
      <c r="R29" s="148"/>
      <c r="S29" s="149"/>
      <c r="T29" s="167"/>
      <c r="V29" s="147"/>
      <c r="W29" s="148"/>
      <c r="X29" s="148"/>
      <c r="Y29" s="148"/>
      <c r="Z29" s="149"/>
      <c r="AB29" s="166"/>
      <c r="AC29" s="144" t="s">
        <v>209</v>
      </c>
      <c r="AD29" s="145">
        <v>2</v>
      </c>
      <c r="AE29" s="145">
        <v>1</v>
      </c>
      <c r="AF29" s="145">
        <v>3</v>
      </c>
      <c r="AG29" s="146">
        <v>2</v>
      </c>
      <c r="AH29" s="167"/>
      <c r="AJ29" s="147"/>
      <c r="AK29" s="148"/>
      <c r="AL29" s="148"/>
      <c r="AM29" s="148"/>
      <c r="AN29" s="149"/>
      <c r="AP29" s="166"/>
      <c r="AQ29" s="147"/>
      <c r="AR29" s="148"/>
      <c r="AS29" s="148"/>
      <c r="AT29" s="148"/>
      <c r="AU29" s="149"/>
      <c r="AV29" s="167"/>
      <c r="AX29" s="148"/>
      <c r="AY29" s="148"/>
      <c r="AZ29" s="148"/>
      <c r="BA29" s="148"/>
      <c r="BB29" s="149"/>
      <c r="BD29" s="166"/>
      <c r="BE29" s="148"/>
      <c r="BF29" s="148"/>
      <c r="BG29" s="148"/>
      <c r="BH29" s="148"/>
      <c r="BI29" s="149"/>
      <c r="BJ29" s="167"/>
      <c r="BL29" s="148"/>
      <c r="BM29" s="148"/>
      <c r="BN29" s="148"/>
      <c r="BO29" s="148"/>
      <c r="BP29" s="149"/>
      <c r="BR29" s="141"/>
      <c r="BS29" s="199"/>
      <c r="BT29" s="200"/>
      <c r="BU29" s="200"/>
      <c r="BV29" s="200"/>
      <c r="BW29" s="200"/>
      <c r="BX29" s="701"/>
      <c r="CC29" s="819"/>
    </row>
    <row r="30" spans="1:81" ht="10" customHeight="1" thickBot="1">
      <c r="A30" s="681"/>
      <c r="B30" s="143"/>
      <c r="C30" s="684"/>
      <c r="D30" s="859"/>
      <c r="E30" s="814"/>
      <c r="F30" s="815"/>
      <c r="G30" s="180"/>
      <c r="H30" s="181"/>
      <c r="I30" s="181"/>
      <c r="J30" s="181"/>
      <c r="K30" s="181"/>
      <c r="L30" s="182"/>
      <c r="M30" s="183"/>
      <c r="N30" s="184"/>
      <c r="O30" s="181"/>
      <c r="P30" s="181"/>
      <c r="Q30" s="181"/>
      <c r="R30" s="181"/>
      <c r="S30" s="182"/>
      <c r="T30" s="185"/>
      <c r="U30" s="183"/>
      <c r="V30" s="181"/>
      <c r="W30" s="181"/>
      <c r="X30" s="181"/>
      <c r="Y30" s="181"/>
      <c r="Z30" s="182"/>
      <c r="AA30" s="183"/>
      <c r="AB30" s="184"/>
      <c r="AC30" s="183"/>
      <c r="AD30" s="183"/>
      <c r="AE30" s="183"/>
      <c r="AF30" s="183"/>
      <c r="AG30" s="183"/>
      <c r="AH30" s="185"/>
      <c r="AI30" s="183"/>
      <c r="AJ30" s="183"/>
      <c r="AK30" s="183"/>
      <c r="AL30" s="183"/>
      <c r="AM30" s="183"/>
      <c r="AN30" s="183"/>
      <c r="AO30" s="183"/>
      <c r="AP30" s="184"/>
      <c r="AQ30" s="183"/>
      <c r="AR30" s="183"/>
      <c r="AS30" s="183"/>
      <c r="AT30" s="183"/>
      <c r="AU30" s="183"/>
      <c r="AV30" s="185"/>
      <c r="AW30" s="183"/>
      <c r="AX30" s="183"/>
      <c r="AY30" s="183"/>
      <c r="AZ30" s="183"/>
      <c r="BA30" s="183"/>
      <c r="BB30" s="183"/>
      <c r="BC30" s="183"/>
      <c r="BD30" s="184"/>
      <c r="BE30" s="183"/>
      <c r="BF30" s="183"/>
      <c r="BG30" s="183"/>
      <c r="BH30" s="183"/>
      <c r="BI30" s="183"/>
      <c r="BJ30" s="185"/>
      <c r="BK30" s="183"/>
      <c r="BL30" s="183"/>
      <c r="BM30" s="183"/>
      <c r="BN30" s="183"/>
      <c r="BO30" s="183"/>
      <c r="BP30" s="183"/>
      <c r="BQ30" s="183"/>
      <c r="BR30" s="186"/>
      <c r="BS30" s="187"/>
      <c r="BT30" s="187"/>
      <c r="BU30" s="187"/>
      <c r="BV30" s="187"/>
      <c r="BW30" s="187"/>
      <c r="BX30" s="701"/>
      <c r="CC30" s="819"/>
    </row>
    <row r="31" spans="1:81" ht="10" customHeight="1">
      <c r="A31" s="681"/>
      <c r="B31" s="143"/>
      <c r="C31" s="684"/>
      <c r="D31" s="868" t="s">
        <v>211</v>
      </c>
      <c r="E31" s="869" t="s">
        <v>212</v>
      </c>
      <c r="F31" s="870"/>
      <c r="G31" s="171"/>
      <c r="H31" s="201"/>
      <c r="I31" s="201"/>
      <c r="J31" s="201"/>
      <c r="K31" s="201"/>
      <c r="L31" s="202"/>
      <c r="N31" s="166"/>
      <c r="O31" s="148"/>
      <c r="P31" s="148"/>
      <c r="Q31" s="148"/>
      <c r="R31" s="148"/>
      <c r="S31" s="149"/>
      <c r="T31" s="167"/>
      <c r="V31" s="148"/>
      <c r="W31" s="148"/>
      <c r="X31" s="148"/>
      <c r="Y31" s="148"/>
      <c r="Z31" s="149"/>
      <c r="AB31" s="166"/>
      <c r="AH31" s="167"/>
      <c r="AP31" s="166"/>
      <c r="AV31" s="167"/>
      <c r="BD31" s="166"/>
      <c r="BJ31" s="167"/>
      <c r="BR31" s="203"/>
      <c r="BS31" s="204"/>
      <c r="BT31" s="204"/>
      <c r="BU31" s="204"/>
      <c r="BV31" s="204"/>
      <c r="BW31" s="204"/>
      <c r="BX31" s="701"/>
      <c r="CC31" s="819"/>
    </row>
    <row r="32" spans="1:81" ht="33" customHeight="1">
      <c r="A32" s="681"/>
      <c r="B32" s="143"/>
      <c r="C32" s="684"/>
      <c r="D32" s="858"/>
      <c r="E32" s="803"/>
      <c r="F32" s="804"/>
      <c r="G32" s="165"/>
      <c r="H32" s="148"/>
      <c r="I32" s="148"/>
      <c r="J32" s="148"/>
      <c r="K32" s="148"/>
      <c r="L32" s="149"/>
      <c r="N32" s="166"/>
      <c r="T32" s="167"/>
      <c r="V32" s="871" t="s">
        <v>78</v>
      </c>
      <c r="W32" s="872"/>
      <c r="X32" s="872"/>
      <c r="Y32" s="872"/>
      <c r="Z32" s="873"/>
      <c r="AB32" s="166"/>
      <c r="AH32" s="167"/>
      <c r="AP32" s="166"/>
      <c r="AV32" s="167"/>
      <c r="AX32" s="779"/>
      <c r="AY32" s="779"/>
      <c r="AZ32" s="779"/>
      <c r="BA32" s="779"/>
      <c r="BB32" s="779"/>
      <c r="BD32" s="166"/>
      <c r="BJ32" s="167"/>
      <c r="BR32" s="141"/>
      <c r="BX32" s="701"/>
      <c r="CC32" s="819"/>
    </row>
    <row r="33" spans="1:81" ht="18" customHeight="1">
      <c r="A33" s="681"/>
      <c r="B33" s="143"/>
      <c r="C33" s="684"/>
      <c r="D33" s="858"/>
      <c r="E33" s="803"/>
      <c r="F33" s="804"/>
      <c r="G33" s="165"/>
      <c r="N33" s="166"/>
      <c r="T33" s="167"/>
      <c r="V33" s="144" t="s">
        <v>180</v>
      </c>
      <c r="W33" s="145">
        <v>3</v>
      </c>
      <c r="X33" s="145">
        <v>0</v>
      </c>
      <c r="Y33" s="145">
        <v>6</v>
      </c>
      <c r="Z33" s="146">
        <f>(SUM(W33*3)+(X33))*16/48</f>
        <v>3</v>
      </c>
      <c r="AB33" s="166"/>
      <c r="AH33" s="167"/>
      <c r="AP33" s="166"/>
      <c r="AV33" s="167"/>
      <c r="AX33" s="147"/>
      <c r="AY33" s="148"/>
      <c r="AZ33" s="148"/>
      <c r="BA33" s="148"/>
      <c r="BB33" s="149"/>
      <c r="BD33" s="166"/>
      <c r="BJ33" s="167"/>
      <c r="BL33" s="779"/>
      <c r="BM33" s="779"/>
      <c r="BN33" s="779"/>
      <c r="BO33" s="779"/>
      <c r="BP33" s="779"/>
      <c r="BR33" s="141"/>
      <c r="BX33" s="701"/>
      <c r="CC33" s="819"/>
    </row>
    <row r="34" spans="1:81" ht="10" customHeight="1">
      <c r="A34" s="681"/>
      <c r="B34" s="143"/>
      <c r="C34" s="684"/>
      <c r="D34" s="858"/>
      <c r="E34" s="803"/>
      <c r="F34" s="804"/>
      <c r="G34" s="165"/>
      <c r="N34" s="166"/>
      <c r="O34" s="148"/>
      <c r="P34" s="148"/>
      <c r="Q34" s="148"/>
      <c r="R34" s="148"/>
      <c r="S34" s="149"/>
      <c r="T34" s="167"/>
      <c r="V34" s="148"/>
      <c r="W34" s="148"/>
      <c r="X34" s="148"/>
      <c r="Y34" s="148"/>
      <c r="Z34" s="148"/>
      <c r="AB34" s="166"/>
      <c r="AC34" s="148"/>
      <c r="AD34" s="148"/>
      <c r="AE34" s="148"/>
      <c r="AF34" s="148"/>
      <c r="AG34" s="148"/>
      <c r="AH34" s="167"/>
      <c r="AJ34" s="148"/>
      <c r="AK34" s="148"/>
      <c r="AL34" s="148"/>
      <c r="AM34" s="148"/>
      <c r="AN34" s="148"/>
      <c r="AP34" s="166"/>
      <c r="AV34" s="167"/>
      <c r="BD34" s="166"/>
      <c r="BJ34" s="167"/>
      <c r="BL34" s="148"/>
      <c r="BM34" s="148"/>
      <c r="BN34" s="148"/>
      <c r="BO34" s="148"/>
      <c r="BP34" s="148"/>
      <c r="BR34" s="141"/>
      <c r="BX34" s="701"/>
      <c r="CC34" s="819"/>
    </row>
    <row r="35" spans="1:81" ht="12.75" customHeight="1">
      <c r="A35" s="681"/>
      <c r="B35" s="143"/>
      <c r="C35" s="684"/>
      <c r="D35" s="858"/>
      <c r="E35" s="803"/>
      <c r="F35" s="804"/>
      <c r="G35" s="205"/>
      <c r="H35" s="206"/>
      <c r="I35" s="206"/>
      <c r="J35" s="206"/>
      <c r="K35" s="206"/>
      <c r="L35" s="206"/>
      <c r="M35" s="206"/>
      <c r="N35" s="207"/>
      <c r="O35" s="206"/>
      <c r="P35" s="206"/>
      <c r="Q35" s="206"/>
      <c r="R35" s="206"/>
      <c r="S35" s="206"/>
      <c r="T35" s="208"/>
      <c r="U35" s="206"/>
      <c r="V35" s="209"/>
      <c r="W35" s="209"/>
      <c r="X35" s="209"/>
      <c r="Y35" s="209"/>
      <c r="Z35" s="210"/>
      <c r="AA35" s="206"/>
      <c r="AB35" s="207"/>
      <c r="AC35" s="209"/>
      <c r="AD35" s="209"/>
      <c r="AE35" s="209"/>
      <c r="AF35" s="209"/>
      <c r="AG35" s="210"/>
      <c r="AH35" s="208"/>
      <c r="AI35" s="206"/>
      <c r="AJ35" s="209"/>
      <c r="AK35" s="209"/>
      <c r="AL35" s="209"/>
      <c r="AM35" s="209"/>
      <c r="AN35" s="210"/>
      <c r="AO35" s="206"/>
      <c r="AP35" s="207"/>
      <c r="AQ35" s="206"/>
      <c r="AR35" s="206"/>
      <c r="AS35" s="206"/>
      <c r="AT35" s="206"/>
      <c r="AU35" s="206"/>
      <c r="AV35" s="208"/>
      <c r="AW35" s="206"/>
      <c r="AX35" s="206"/>
      <c r="AY35" s="206"/>
      <c r="AZ35" s="206"/>
      <c r="BA35" s="206"/>
      <c r="BB35" s="206"/>
      <c r="BC35" s="206"/>
      <c r="BD35" s="207"/>
      <c r="BE35" s="206"/>
      <c r="BF35" s="206"/>
      <c r="BG35" s="206"/>
      <c r="BH35" s="206"/>
      <c r="BI35" s="206"/>
      <c r="BJ35" s="208"/>
      <c r="BK35" s="206"/>
      <c r="BL35" s="209"/>
      <c r="BM35" s="209"/>
      <c r="BN35" s="209"/>
      <c r="BO35" s="209"/>
      <c r="BP35" s="210"/>
      <c r="BQ35" s="206"/>
      <c r="BR35" s="141"/>
      <c r="BX35" s="701"/>
      <c r="CC35" s="819"/>
    </row>
    <row r="36" spans="1:81" ht="30.75" customHeight="1">
      <c r="A36" s="681"/>
      <c r="B36" s="143"/>
      <c r="C36" s="684"/>
      <c r="D36" s="858"/>
      <c r="E36" s="803"/>
      <c r="F36" s="804"/>
      <c r="G36" s="165"/>
      <c r="H36" s="148"/>
      <c r="I36" s="148"/>
      <c r="J36" s="148"/>
      <c r="K36" s="148"/>
      <c r="L36" s="149"/>
      <c r="N36" s="166"/>
      <c r="O36" s="148"/>
      <c r="P36" s="148"/>
      <c r="Q36" s="148"/>
      <c r="R36" s="148"/>
      <c r="S36" s="149"/>
      <c r="T36" s="167"/>
      <c r="V36" s="148"/>
      <c r="W36" s="148"/>
      <c r="X36" s="148"/>
      <c r="Y36" s="148"/>
      <c r="Z36" s="149"/>
      <c r="AB36" s="166"/>
      <c r="AH36" s="167"/>
      <c r="AP36" s="166"/>
      <c r="AQ36" s="874" t="s">
        <v>93</v>
      </c>
      <c r="AR36" s="875"/>
      <c r="AS36" s="875"/>
      <c r="AT36" s="875"/>
      <c r="AU36" s="876"/>
      <c r="AV36" s="195"/>
      <c r="AW36" s="193"/>
      <c r="AX36" s="874" t="s">
        <v>99</v>
      </c>
      <c r="AY36" s="875"/>
      <c r="AZ36" s="875"/>
      <c r="BA36" s="875"/>
      <c r="BB36" s="876"/>
      <c r="BD36" s="166"/>
      <c r="BJ36" s="167"/>
      <c r="BR36" s="141"/>
      <c r="BS36" s="679" t="s">
        <v>213</v>
      </c>
      <c r="BT36" s="877"/>
      <c r="BU36" s="877"/>
      <c r="BV36" s="877"/>
      <c r="BW36" s="877"/>
      <c r="BX36" s="701"/>
      <c r="CC36" s="819"/>
    </row>
    <row r="37" spans="1:81" ht="18" customHeight="1">
      <c r="A37" s="681"/>
      <c r="B37" s="143"/>
      <c r="C37" s="684"/>
      <c r="D37" s="858"/>
      <c r="E37" s="803"/>
      <c r="F37" s="804"/>
      <c r="G37" s="165"/>
      <c r="H37" s="148"/>
      <c r="I37" s="148"/>
      <c r="J37" s="148"/>
      <c r="K37" s="148"/>
      <c r="L37" s="149"/>
      <c r="N37" s="166"/>
      <c r="O37" s="148"/>
      <c r="P37" s="148"/>
      <c r="Q37" s="148"/>
      <c r="R37" s="148"/>
      <c r="S37" s="149"/>
      <c r="T37" s="167"/>
      <c r="V37" s="148"/>
      <c r="W37" s="148"/>
      <c r="X37" s="148"/>
      <c r="Y37" s="148"/>
      <c r="Z37" s="149"/>
      <c r="AB37" s="166"/>
      <c r="AH37" s="167"/>
      <c r="AP37" s="166"/>
      <c r="AQ37" s="190" t="s">
        <v>209</v>
      </c>
      <c r="AR37" s="191">
        <v>4</v>
      </c>
      <c r="AS37" s="191">
        <v>1</v>
      </c>
      <c r="AT37" s="191">
        <v>5</v>
      </c>
      <c r="AU37" s="192">
        <v>3</v>
      </c>
      <c r="AV37" s="167"/>
      <c r="AX37" s="190" t="s">
        <v>209</v>
      </c>
      <c r="AY37" s="191">
        <v>4</v>
      </c>
      <c r="AZ37" s="191">
        <v>1</v>
      </c>
      <c r="BA37" s="191">
        <v>5</v>
      </c>
      <c r="BB37" s="192">
        <v>3</v>
      </c>
      <c r="BD37" s="166"/>
      <c r="BJ37" s="167"/>
      <c r="BR37" s="141"/>
      <c r="BS37" s="168" t="s">
        <v>168</v>
      </c>
      <c r="BT37" s="169">
        <f>W33+AY33+AR37+AY37</f>
        <v>11</v>
      </c>
      <c r="BU37" s="169">
        <f>X33+AZ33+AS37+AZ37</f>
        <v>2</v>
      </c>
      <c r="BV37" s="169">
        <f>Y33+BA33+AT37+BA37</f>
        <v>16</v>
      </c>
      <c r="BW37" s="170">
        <f>Z33+BB33+AU37+BB37</f>
        <v>9</v>
      </c>
      <c r="BX37" s="701"/>
      <c r="CC37" s="819"/>
    </row>
    <row r="38" spans="1:81" ht="10" customHeight="1" thickBot="1">
      <c r="A38" s="681"/>
      <c r="B38" s="143"/>
      <c r="C38" s="684"/>
      <c r="D38" s="858"/>
      <c r="E38" s="805"/>
      <c r="F38" s="806"/>
      <c r="G38" s="180"/>
      <c r="H38" s="181"/>
      <c r="I38" s="181"/>
      <c r="J38" s="181"/>
      <c r="K38" s="181"/>
      <c r="L38" s="182"/>
      <c r="M38" s="183"/>
      <c r="N38" s="184"/>
      <c r="O38" s="181"/>
      <c r="P38" s="181"/>
      <c r="Q38" s="181"/>
      <c r="R38" s="181"/>
      <c r="S38" s="182"/>
      <c r="T38" s="185"/>
      <c r="U38" s="183"/>
      <c r="V38" s="181"/>
      <c r="W38" s="181"/>
      <c r="X38" s="181"/>
      <c r="Y38" s="181"/>
      <c r="Z38" s="182"/>
      <c r="AA38" s="183"/>
      <c r="AB38" s="184"/>
      <c r="AC38" s="183"/>
      <c r="AD38" s="183"/>
      <c r="AE38" s="183"/>
      <c r="AF38" s="183"/>
      <c r="AG38" s="183"/>
      <c r="AH38" s="185"/>
      <c r="AI38" s="183"/>
      <c r="AJ38" s="183"/>
      <c r="AK38" s="183"/>
      <c r="AL38" s="183"/>
      <c r="AM38" s="183"/>
      <c r="AN38" s="183"/>
      <c r="AO38" s="183"/>
      <c r="AP38" s="184"/>
      <c r="AQ38" s="183"/>
      <c r="AR38" s="183"/>
      <c r="AS38" s="183"/>
      <c r="AT38" s="183"/>
      <c r="AU38" s="183"/>
      <c r="AV38" s="185"/>
      <c r="AW38" s="183"/>
      <c r="AX38" s="183"/>
      <c r="AY38" s="183"/>
      <c r="AZ38" s="183"/>
      <c r="BA38" s="183"/>
      <c r="BB38" s="183"/>
      <c r="BC38" s="183"/>
      <c r="BD38" s="184"/>
      <c r="BE38" s="183"/>
      <c r="BF38" s="183"/>
      <c r="BG38" s="183"/>
      <c r="BH38" s="183"/>
      <c r="BI38" s="183"/>
      <c r="BJ38" s="185"/>
      <c r="BK38" s="183"/>
      <c r="BL38" s="183"/>
      <c r="BM38" s="183"/>
      <c r="BN38" s="183"/>
      <c r="BO38" s="183"/>
      <c r="BP38" s="183"/>
      <c r="BQ38" s="183"/>
      <c r="BR38" s="141"/>
      <c r="BX38" s="701"/>
      <c r="CC38" s="819"/>
    </row>
    <row r="39" spans="1:81" ht="10" customHeight="1">
      <c r="A39" s="681"/>
      <c r="B39" s="143"/>
      <c r="C39" s="684"/>
      <c r="D39" s="858"/>
      <c r="E39" s="840" t="s">
        <v>214</v>
      </c>
      <c r="F39" s="841"/>
      <c r="G39" s="165"/>
      <c r="H39" s="148"/>
      <c r="I39" s="148"/>
      <c r="J39" s="148"/>
      <c r="K39" s="148"/>
      <c r="L39" s="149"/>
      <c r="N39" s="166"/>
      <c r="O39" s="148"/>
      <c r="P39" s="148"/>
      <c r="Q39" s="148"/>
      <c r="R39" s="148"/>
      <c r="S39" s="149"/>
      <c r="T39" s="167"/>
      <c r="V39" s="148"/>
      <c r="W39" s="148"/>
      <c r="X39" s="148"/>
      <c r="Y39" s="148"/>
      <c r="Z39" s="149"/>
      <c r="AB39" s="166"/>
      <c r="AH39" s="167"/>
      <c r="AP39" s="166"/>
      <c r="AV39" s="167"/>
      <c r="BD39" s="166"/>
      <c r="BJ39" s="167"/>
      <c r="BR39" s="141"/>
      <c r="BX39" s="701"/>
      <c r="CC39" s="819"/>
    </row>
    <row r="40" spans="1:81" ht="39.75" customHeight="1">
      <c r="A40" s="681"/>
      <c r="B40" s="143"/>
      <c r="C40" s="684"/>
      <c r="D40" s="858"/>
      <c r="E40" s="836"/>
      <c r="F40" s="837"/>
      <c r="G40" s="165"/>
      <c r="H40" s="779"/>
      <c r="I40" s="779"/>
      <c r="J40" s="779"/>
      <c r="K40" s="779"/>
      <c r="L40" s="779"/>
      <c r="N40" s="166"/>
      <c r="O40" s="843" t="s">
        <v>71</v>
      </c>
      <c r="P40" s="844"/>
      <c r="Q40" s="844"/>
      <c r="R40" s="844"/>
      <c r="S40" s="845"/>
      <c r="T40" s="167"/>
      <c r="V40" s="843" t="s">
        <v>75</v>
      </c>
      <c r="W40" s="844"/>
      <c r="X40" s="844"/>
      <c r="Y40" s="844"/>
      <c r="Z40" s="845"/>
      <c r="AB40" s="166"/>
      <c r="AC40" s="779"/>
      <c r="AD40" s="779"/>
      <c r="AE40" s="779"/>
      <c r="AF40" s="779"/>
      <c r="AG40" s="779"/>
      <c r="AH40" s="167"/>
      <c r="AP40" s="166"/>
      <c r="AQ40" s="779"/>
      <c r="AR40" s="779"/>
      <c r="AS40" s="779"/>
      <c r="AT40" s="779"/>
      <c r="AU40" s="779"/>
      <c r="AV40" s="167"/>
      <c r="AX40" s="779"/>
      <c r="AY40" s="779"/>
      <c r="AZ40" s="779"/>
      <c r="BA40" s="779"/>
      <c r="BB40" s="779"/>
      <c r="BD40" s="166"/>
      <c r="BE40" s="779"/>
      <c r="BF40" s="779"/>
      <c r="BG40" s="779"/>
      <c r="BH40" s="779"/>
      <c r="BI40" s="779"/>
      <c r="BJ40" s="167"/>
      <c r="BL40" s="779"/>
      <c r="BM40" s="779"/>
      <c r="BN40" s="779"/>
      <c r="BO40" s="779"/>
      <c r="BP40" s="779"/>
      <c r="BR40" s="141"/>
      <c r="BS40" s="849" t="s">
        <v>215</v>
      </c>
      <c r="BT40" s="850"/>
      <c r="BU40" s="850"/>
      <c r="BV40" s="850"/>
      <c r="BW40" s="850"/>
      <c r="BX40" s="701"/>
      <c r="CC40" s="819">
        <v>65</v>
      </c>
    </row>
    <row r="41" spans="1:81" ht="18" customHeight="1">
      <c r="A41" s="681"/>
      <c r="B41" s="143"/>
      <c r="C41" s="684"/>
      <c r="D41" s="858"/>
      <c r="E41" s="836"/>
      <c r="F41" s="837"/>
      <c r="G41" s="165"/>
      <c r="H41" s="148"/>
      <c r="I41" s="148"/>
      <c r="J41" s="148"/>
      <c r="K41" s="148"/>
      <c r="L41" s="149"/>
      <c r="N41" s="166"/>
      <c r="O41" s="144" t="s">
        <v>209</v>
      </c>
      <c r="P41" s="145">
        <v>3</v>
      </c>
      <c r="Q41" s="145">
        <v>1</v>
      </c>
      <c r="R41" s="145">
        <v>4</v>
      </c>
      <c r="S41" s="146">
        <v>3</v>
      </c>
      <c r="T41" s="167"/>
      <c r="V41" s="144" t="s">
        <v>209</v>
      </c>
      <c r="W41" s="145">
        <v>2</v>
      </c>
      <c r="X41" s="145">
        <v>1</v>
      </c>
      <c r="Y41" s="145">
        <v>3</v>
      </c>
      <c r="Z41" s="146">
        <v>2</v>
      </c>
      <c r="AB41" s="166"/>
      <c r="AC41" s="147"/>
      <c r="AD41" s="148"/>
      <c r="AE41" s="148"/>
      <c r="AF41" s="148"/>
      <c r="AG41" s="149"/>
      <c r="AH41" s="167"/>
      <c r="AP41" s="166"/>
      <c r="AQ41" s="148"/>
      <c r="AR41" s="148"/>
      <c r="AS41" s="148"/>
      <c r="AT41" s="148"/>
      <c r="AU41" s="149"/>
      <c r="AV41" s="167"/>
      <c r="AX41" s="148"/>
      <c r="AY41" s="148"/>
      <c r="AZ41" s="148"/>
      <c r="BA41" s="148"/>
      <c r="BB41" s="149"/>
      <c r="BD41" s="166"/>
      <c r="BE41" s="148"/>
      <c r="BF41" s="148"/>
      <c r="BG41" s="148"/>
      <c r="BH41" s="148"/>
      <c r="BI41" s="149"/>
      <c r="BJ41" s="167"/>
      <c r="BL41" s="148"/>
      <c r="BM41" s="148"/>
      <c r="BN41" s="148"/>
      <c r="BO41" s="148"/>
      <c r="BP41" s="149"/>
      <c r="BR41" s="141"/>
      <c r="BS41" s="177" t="s">
        <v>168</v>
      </c>
      <c r="BT41" s="178">
        <f>P41+W41+AD41</f>
        <v>5</v>
      </c>
      <c r="BU41" s="178">
        <f>Q41+X41+AE41</f>
        <v>2</v>
      </c>
      <c r="BV41" s="178">
        <f>R41+Y41+AF41</f>
        <v>7</v>
      </c>
      <c r="BW41" s="179">
        <f>S41+Z41+AG41</f>
        <v>5</v>
      </c>
      <c r="BX41" s="701"/>
      <c r="CC41" s="819"/>
    </row>
    <row r="42" spans="1:81" ht="10" customHeight="1" thickBot="1">
      <c r="A42" s="681"/>
      <c r="B42" s="143"/>
      <c r="C42" s="684"/>
      <c r="D42" s="858"/>
      <c r="E42" s="838"/>
      <c r="F42" s="839"/>
      <c r="G42" s="180"/>
      <c r="H42" s="181"/>
      <c r="I42" s="181"/>
      <c r="J42" s="181"/>
      <c r="K42" s="181"/>
      <c r="L42" s="182"/>
      <c r="M42" s="183"/>
      <c r="N42" s="184"/>
      <c r="O42" s="181"/>
      <c r="P42" s="181"/>
      <c r="Q42" s="181"/>
      <c r="R42" s="181"/>
      <c r="S42" s="182"/>
      <c r="T42" s="185"/>
      <c r="U42" s="183"/>
      <c r="V42" s="181"/>
      <c r="W42" s="181"/>
      <c r="X42" s="181"/>
      <c r="Y42" s="181"/>
      <c r="Z42" s="182"/>
      <c r="AA42" s="183"/>
      <c r="AB42" s="184"/>
      <c r="AC42" s="183"/>
      <c r="AD42" s="183"/>
      <c r="AE42" s="183"/>
      <c r="AF42" s="183"/>
      <c r="AG42" s="183"/>
      <c r="AH42" s="185"/>
      <c r="AI42" s="183"/>
      <c r="AJ42" s="183"/>
      <c r="AK42" s="183"/>
      <c r="AL42" s="183"/>
      <c r="AM42" s="183"/>
      <c r="AN42" s="183"/>
      <c r="AO42" s="183"/>
      <c r="AP42" s="184"/>
      <c r="AQ42" s="183"/>
      <c r="AR42" s="183"/>
      <c r="AS42" s="183"/>
      <c r="AT42" s="183"/>
      <c r="AU42" s="183"/>
      <c r="AV42" s="185"/>
      <c r="AW42" s="183"/>
      <c r="AX42" s="183"/>
      <c r="AY42" s="183"/>
      <c r="AZ42" s="183"/>
      <c r="BA42" s="183"/>
      <c r="BB42" s="183"/>
      <c r="BC42" s="183"/>
      <c r="BD42" s="184"/>
      <c r="BE42" s="183"/>
      <c r="BF42" s="183"/>
      <c r="BG42" s="183"/>
      <c r="BH42" s="183"/>
      <c r="BI42" s="183"/>
      <c r="BJ42" s="185"/>
      <c r="BK42" s="183"/>
      <c r="BL42" s="183"/>
      <c r="BM42" s="183"/>
      <c r="BN42" s="183"/>
      <c r="BO42" s="183"/>
      <c r="BP42" s="183"/>
      <c r="BQ42" s="183"/>
      <c r="BR42" s="141"/>
      <c r="BX42" s="701"/>
      <c r="CC42" s="819"/>
    </row>
    <row r="43" spans="1:81" ht="10" customHeight="1" thickBot="1">
      <c r="A43" s="681"/>
      <c r="B43" s="143"/>
      <c r="C43" s="684"/>
      <c r="D43" s="858"/>
      <c r="E43" s="834" t="s">
        <v>216</v>
      </c>
      <c r="F43" s="835"/>
      <c r="G43" s="165"/>
      <c r="H43" s="148"/>
      <c r="I43" s="148"/>
      <c r="J43" s="148"/>
      <c r="K43" s="148"/>
      <c r="L43" s="149"/>
      <c r="N43" s="166"/>
      <c r="O43" s="148"/>
      <c r="P43" s="148"/>
      <c r="Q43" s="148"/>
      <c r="R43" s="148"/>
      <c r="S43" s="149"/>
      <c r="T43" s="167"/>
      <c r="V43" s="148"/>
      <c r="W43" s="148"/>
      <c r="X43" s="148"/>
      <c r="Y43" s="148"/>
      <c r="Z43" s="149"/>
      <c r="AB43" s="166"/>
      <c r="AH43" s="167"/>
      <c r="AP43" s="166"/>
      <c r="AV43" s="167"/>
      <c r="BD43" s="166"/>
      <c r="BJ43" s="167"/>
      <c r="BR43" s="141"/>
      <c r="BX43" s="701"/>
      <c r="CC43" s="819"/>
    </row>
    <row r="44" spans="1:81" ht="43.5" customHeight="1">
      <c r="A44" s="681"/>
      <c r="B44" s="143"/>
      <c r="C44" s="684"/>
      <c r="D44" s="858"/>
      <c r="E44" s="836"/>
      <c r="F44" s="837"/>
      <c r="G44" s="165"/>
      <c r="H44" s="779"/>
      <c r="I44" s="779"/>
      <c r="J44" s="779"/>
      <c r="K44" s="779"/>
      <c r="L44" s="779"/>
      <c r="N44" s="166"/>
      <c r="O44" s="807" t="s">
        <v>217</v>
      </c>
      <c r="P44" s="808"/>
      <c r="Q44" s="808"/>
      <c r="R44" s="808"/>
      <c r="S44" s="809"/>
      <c r="T44" s="167"/>
      <c r="V44" s="807" t="s">
        <v>218</v>
      </c>
      <c r="W44" s="808"/>
      <c r="X44" s="808"/>
      <c r="Y44" s="808"/>
      <c r="Z44" s="809"/>
      <c r="AA44" s="193"/>
      <c r="AB44" s="194"/>
      <c r="AC44" s="674"/>
      <c r="AD44" s="674"/>
      <c r="AE44" s="674"/>
      <c r="AF44" s="674"/>
      <c r="AG44" s="674"/>
      <c r="AH44" s="195"/>
      <c r="AI44" s="193"/>
      <c r="AJ44" s="671" t="s">
        <v>219</v>
      </c>
      <c r="AK44" s="672"/>
      <c r="AL44" s="672"/>
      <c r="AM44" s="672"/>
      <c r="AN44" s="673"/>
      <c r="AP44" s="166"/>
      <c r="AV44" s="167"/>
      <c r="AX44" s="779"/>
      <c r="AY44" s="779"/>
      <c r="AZ44" s="779"/>
      <c r="BA44" s="779"/>
      <c r="BB44" s="779"/>
      <c r="BD44" s="166"/>
      <c r="BE44" s="779"/>
      <c r="BF44" s="779"/>
      <c r="BG44" s="779"/>
      <c r="BH44" s="779"/>
      <c r="BI44" s="779"/>
      <c r="BJ44" s="167"/>
      <c r="BL44" s="779"/>
      <c r="BM44" s="779"/>
      <c r="BN44" s="779"/>
      <c r="BO44" s="779"/>
      <c r="BP44" s="779"/>
      <c r="BR44" s="141"/>
      <c r="BS44" s="829" t="s">
        <v>220</v>
      </c>
      <c r="BT44" s="830"/>
      <c r="BU44" s="830"/>
      <c r="BV44" s="830"/>
      <c r="BW44" s="830"/>
      <c r="BX44" s="701"/>
      <c r="CC44" s="819"/>
    </row>
    <row r="45" spans="1:81" ht="18" customHeight="1" thickBot="1">
      <c r="A45" s="681"/>
      <c r="B45" s="143"/>
      <c r="C45" s="684"/>
      <c r="D45" s="858"/>
      <c r="E45" s="836"/>
      <c r="F45" s="837"/>
      <c r="G45" s="165"/>
      <c r="H45" s="148"/>
      <c r="I45" s="148"/>
      <c r="J45" s="148"/>
      <c r="K45" s="148"/>
      <c r="L45" s="149"/>
      <c r="N45" s="166"/>
      <c r="O45" s="144" t="s">
        <v>209</v>
      </c>
      <c r="P45" s="145">
        <v>3</v>
      </c>
      <c r="Q45" s="145">
        <v>1</v>
      </c>
      <c r="R45" s="145">
        <v>4</v>
      </c>
      <c r="S45" s="146">
        <v>3</v>
      </c>
      <c r="T45" s="167"/>
      <c r="V45" s="144" t="s">
        <v>209</v>
      </c>
      <c r="W45" s="145">
        <v>3</v>
      </c>
      <c r="X45" s="145">
        <v>2</v>
      </c>
      <c r="Y45" s="145">
        <v>5</v>
      </c>
      <c r="Z45" s="146">
        <v>3</v>
      </c>
      <c r="AB45" s="166"/>
      <c r="AC45" s="147"/>
      <c r="AD45" s="148"/>
      <c r="AE45" s="148"/>
      <c r="AF45" s="148"/>
      <c r="AG45" s="149"/>
      <c r="AH45" s="167"/>
      <c r="AJ45" s="211" t="s">
        <v>209</v>
      </c>
      <c r="AK45" s="212">
        <v>1</v>
      </c>
      <c r="AL45" s="212">
        <v>1</v>
      </c>
      <c r="AM45" s="212">
        <v>2</v>
      </c>
      <c r="AN45" s="213">
        <v>1</v>
      </c>
      <c r="AP45" s="166"/>
      <c r="AV45" s="167"/>
      <c r="AX45" s="148"/>
      <c r="AY45" s="148"/>
      <c r="AZ45" s="148"/>
      <c r="BA45" s="148"/>
      <c r="BB45" s="149"/>
      <c r="BD45" s="166"/>
      <c r="BE45" s="148"/>
      <c r="BF45" s="148"/>
      <c r="BG45" s="148"/>
      <c r="BH45" s="148"/>
      <c r="BI45" s="149"/>
      <c r="BJ45" s="167"/>
      <c r="BL45" s="148"/>
      <c r="BM45" s="148"/>
      <c r="BN45" s="148"/>
      <c r="BO45" s="148"/>
      <c r="BP45" s="149"/>
      <c r="BR45" s="141"/>
      <c r="BS45" s="214" t="s">
        <v>168</v>
      </c>
      <c r="BT45" s="215">
        <v>12</v>
      </c>
      <c r="BU45" s="215">
        <v>6</v>
      </c>
      <c r="BV45" s="215">
        <v>18</v>
      </c>
      <c r="BW45" s="216">
        <v>12</v>
      </c>
      <c r="BX45" s="701"/>
      <c r="CC45" s="819"/>
    </row>
    <row r="46" spans="1:81" ht="10" customHeight="1">
      <c r="A46" s="681"/>
      <c r="B46" s="143"/>
      <c r="C46" s="684"/>
      <c r="D46" s="858"/>
      <c r="E46" s="836"/>
      <c r="F46" s="837"/>
      <c r="G46" s="165"/>
      <c r="H46" s="148"/>
      <c r="I46" s="148"/>
      <c r="J46" s="148"/>
      <c r="K46" s="148"/>
      <c r="L46" s="149"/>
      <c r="N46" s="166"/>
      <c r="O46" s="148"/>
      <c r="P46" s="148"/>
      <c r="Q46" s="148"/>
      <c r="R46" s="148"/>
      <c r="S46" s="149"/>
      <c r="T46" s="167"/>
      <c r="V46" s="148"/>
      <c r="W46" s="148"/>
      <c r="X46" s="148"/>
      <c r="Y46" s="148"/>
      <c r="Z46" s="149"/>
      <c r="AB46" s="166"/>
      <c r="AH46" s="167"/>
      <c r="AP46" s="166"/>
      <c r="AV46" s="167"/>
      <c r="BD46" s="166"/>
      <c r="BJ46" s="167"/>
      <c r="BR46" s="141"/>
      <c r="BX46" s="701"/>
      <c r="CC46" s="819"/>
    </row>
    <row r="47" spans="1:81" ht="12.75" customHeight="1">
      <c r="A47" s="681"/>
      <c r="B47" s="143"/>
      <c r="C47" s="684"/>
      <c r="D47" s="858"/>
      <c r="E47" s="836"/>
      <c r="F47" s="837"/>
      <c r="G47" s="165"/>
      <c r="H47" s="148"/>
      <c r="I47" s="148"/>
      <c r="J47" s="148"/>
      <c r="K47" s="148"/>
      <c r="L47" s="149"/>
      <c r="N47" s="166"/>
      <c r="O47" s="148"/>
      <c r="P47" s="148"/>
      <c r="Q47" s="148"/>
      <c r="R47" s="148"/>
      <c r="S47" s="149"/>
      <c r="T47" s="167"/>
      <c r="V47" s="148"/>
      <c r="W47" s="148"/>
      <c r="X47" s="148"/>
      <c r="Y47" s="148"/>
      <c r="Z47" s="149"/>
      <c r="AB47" s="166"/>
      <c r="AH47" s="167"/>
      <c r="AJ47" s="842"/>
      <c r="AK47" s="842"/>
      <c r="AL47" s="842"/>
      <c r="AM47" s="842"/>
      <c r="AN47" s="842"/>
      <c r="AP47" s="166"/>
      <c r="AV47" s="167"/>
      <c r="BD47" s="166"/>
      <c r="BJ47" s="167"/>
      <c r="BR47" s="141"/>
      <c r="BX47" s="701"/>
      <c r="CC47" s="819"/>
    </row>
    <row r="48" spans="1:81" ht="18" hidden="1" customHeight="1">
      <c r="A48" s="681"/>
      <c r="B48" s="143"/>
      <c r="C48" s="684"/>
      <c r="D48" s="858"/>
      <c r="E48" s="836"/>
      <c r="F48" s="837"/>
      <c r="G48" s="165"/>
      <c r="H48" s="148"/>
      <c r="I48" s="148"/>
      <c r="J48" s="148"/>
      <c r="K48" s="148"/>
      <c r="L48" s="149"/>
      <c r="N48" s="166"/>
      <c r="O48" s="148"/>
      <c r="P48" s="148"/>
      <c r="Q48" s="148"/>
      <c r="R48" s="148"/>
      <c r="S48" s="149"/>
      <c r="T48" s="167"/>
      <c r="V48" s="148"/>
      <c r="W48" s="148"/>
      <c r="X48" s="148"/>
      <c r="Y48" s="148"/>
      <c r="Z48" s="149"/>
      <c r="AB48" s="166"/>
      <c r="AH48" s="167"/>
      <c r="AJ48" s="147"/>
      <c r="AK48" s="148"/>
      <c r="AL48" s="148"/>
      <c r="AM48" s="148"/>
      <c r="AN48" s="149"/>
      <c r="AP48" s="166"/>
      <c r="AV48" s="167"/>
      <c r="BD48" s="166"/>
      <c r="BJ48" s="167"/>
      <c r="BR48" s="141"/>
      <c r="BX48" s="701"/>
      <c r="CC48" s="819"/>
    </row>
    <row r="49" spans="1:81" ht="23.25" customHeight="1" thickBot="1">
      <c r="A49" s="681"/>
      <c r="B49" s="143"/>
      <c r="C49" s="684"/>
      <c r="D49" s="858"/>
      <c r="E49" s="838"/>
      <c r="F49" s="839"/>
      <c r="G49" s="180"/>
      <c r="H49" s="181"/>
      <c r="I49" s="181"/>
      <c r="J49" s="181"/>
      <c r="K49" s="181"/>
      <c r="L49" s="182"/>
      <c r="M49" s="183"/>
      <c r="N49" s="184"/>
      <c r="O49" s="181"/>
      <c r="P49" s="181"/>
      <c r="Q49" s="181"/>
      <c r="R49" s="181"/>
      <c r="S49" s="182"/>
      <c r="T49" s="185"/>
      <c r="U49" s="183"/>
      <c r="V49" s="181"/>
      <c r="W49" s="181"/>
      <c r="X49" s="181"/>
      <c r="Y49" s="181"/>
      <c r="Z49" s="182"/>
      <c r="AA49" s="183"/>
      <c r="AB49" s="184"/>
      <c r="AC49" s="183"/>
      <c r="AD49" s="183"/>
      <c r="AE49" s="183"/>
      <c r="AF49" s="183"/>
      <c r="AG49" s="183"/>
      <c r="AH49" s="185"/>
      <c r="AI49" s="183"/>
      <c r="AJ49" s="183"/>
      <c r="AK49" s="183"/>
      <c r="AL49" s="183"/>
      <c r="AM49" s="183"/>
      <c r="AN49" s="183"/>
      <c r="AO49" s="183"/>
      <c r="AP49" s="184"/>
      <c r="AQ49" s="183"/>
      <c r="AR49" s="183"/>
      <c r="AS49" s="183"/>
      <c r="AT49" s="183"/>
      <c r="AU49" s="183"/>
      <c r="AV49" s="185"/>
      <c r="AW49" s="183"/>
      <c r="AX49" s="183"/>
      <c r="AY49" s="183"/>
      <c r="AZ49" s="183"/>
      <c r="BA49" s="183"/>
      <c r="BB49" s="183"/>
      <c r="BC49" s="183"/>
      <c r="BD49" s="184"/>
      <c r="BE49" s="183"/>
      <c r="BF49" s="183"/>
      <c r="BG49" s="183"/>
      <c r="BH49" s="183"/>
      <c r="BI49" s="183"/>
      <c r="BJ49" s="185"/>
      <c r="BK49" s="183"/>
      <c r="BL49" s="183"/>
      <c r="BM49" s="183"/>
      <c r="BN49" s="183"/>
      <c r="BO49" s="183"/>
      <c r="BP49" s="183"/>
      <c r="BQ49" s="183"/>
      <c r="BR49" s="141"/>
      <c r="BX49" s="701"/>
      <c r="CC49" s="819"/>
    </row>
    <row r="50" spans="1:81" ht="10" customHeight="1">
      <c r="A50" s="681"/>
      <c r="B50" s="143"/>
      <c r="C50" s="684"/>
      <c r="D50" s="858"/>
      <c r="E50" s="810" t="s">
        <v>221</v>
      </c>
      <c r="F50" s="811"/>
      <c r="G50" s="165"/>
      <c r="H50" s="148"/>
      <c r="I50" s="148"/>
      <c r="J50" s="148"/>
      <c r="K50" s="148"/>
      <c r="L50" s="149"/>
      <c r="N50" s="166"/>
      <c r="O50" s="148"/>
      <c r="P50" s="148"/>
      <c r="Q50" s="148"/>
      <c r="R50" s="148"/>
      <c r="S50" s="149"/>
      <c r="T50" s="167"/>
      <c r="V50" s="148"/>
      <c r="W50" s="148"/>
      <c r="X50" s="148"/>
      <c r="Y50" s="148"/>
      <c r="Z50" s="149"/>
      <c r="AB50" s="166"/>
      <c r="AH50" s="167"/>
      <c r="AP50" s="166"/>
      <c r="AV50" s="167"/>
      <c r="BD50" s="166"/>
      <c r="BJ50" s="167"/>
      <c r="BR50" s="141"/>
      <c r="BX50" s="701"/>
      <c r="CC50" s="819"/>
    </row>
    <row r="51" spans="1:81" ht="31.5" customHeight="1">
      <c r="A51" s="681"/>
      <c r="B51" s="143"/>
      <c r="C51" s="684"/>
      <c r="D51" s="858"/>
      <c r="E51" s="812"/>
      <c r="F51" s="813"/>
      <c r="G51" s="165"/>
      <c r="H51" s="779"/>
      <c r="I51" s="779"/>
      <c r="J51" s="779"/>
      <c r="K51" s="779"/>
      <c r="L51" s="779"/>
      <c r="N51" s="166"/>
      <c r="O51" s="779"/>
      <c r="P51" s="779"/>
      <c r="Q51" s="779"/>
      <c r="R51" s="779"/>
      <c r="S51" s="779"/>
      <c r="T51" s="167"/>
      <c r="AB51" s="166"/>
      <c r="AH51" s="167"/>
      <c r="AJ51" s="807" t="s">
        <v>222</v>
      </c>
      <c r="AK51" s="808"/>
      <c r="AL51" s="808"/>
      <c r="AM51" s="808"/>
      <c r="AN51" s="809"/>
      <c r="AO51" s="193"/>
      <c r="AP51" s="194"/>
      <c r="AQ51" s="816" t="s">
        <v>223</v>
      </c>
      <c r="AR51" s="817"/>
      <c r="AS51" s="817"/>
      <c r="AT51" s="817"/>
      <c r="AU51" s="818"/>
      <c r="AV51" s="195"/>
      <c r="AW51" s="193"/>
      <c r="AX51" s="674"/>
      <c r="AY51" s="674"/>
      <c r="AZ51" s="674"/>
      <c r="BA51" s="674"/>
      <c r="BB51" s="674"/>
      <c r="BD51" s="166"/>
      <c r="BE51" s="779"/>
      <c r="BF51" s="779"/>
      <c r="BG51" s="779"/>
      <c r="BH51" s="779"/>
      <c r="BI51" s="779"/>
      <c r="BJ51" s="167"/>
      <c r="BL51" s="779"/>
      <c r="BM51" s="779"/>
      <c r="BN51" s="779"/>
      <c r="BO51" s="779"/>
      <c r="BP51" s="779"/>
      <c r="BR51" s="141"/>
      <c r="BS51" s="829" t="s">
        <v>221</v>
      </c>
      <c r="BT51" s="830"/>
      <c r="BU51" s="830"/>
      <c r="BV51" s="830"/>
      <c r="BW51" s="830"/>
      <c r="BX51" s="701"/>
      <c r="CC51" s="819"/>
    </row>
    <row r="52" spans="1:81" ht="27.75" customHeight="1">
      <c r="A52" s="681"/>
      <c r="B52" s="143"/>
      <c r="C52" s="684"/>
      <c r="D52" s="858"/>
      <c r="E52" s="812"/>
      <c r="F52" s="813"/>
      <c r="G52" s="165"/>
      <c r="H52" s="148"/>
      <c r="I52" s="148"/>
      <c r="J52" s="148"/>
      <c r="K52" s="148"/>
      <c r="L52" s="149"/>
      <c r="N52" s="166"/>
      <c r="O52" s="148"/>
      <c r="P52" s="148"/>
      <c r="Q52" s="148"/>
      <c r="R52" s="148"/>
      <c r="S52" s="149"/>
      <c r="T52" s="167"/>
      <c r="AB52" s="166"/>
      <c r="AH52" s="167"/>
      <c r="AJ52" s="144" t="s">
        <v>209</v>
      </c>
      <c r="AK52" s="145">
        <v>5</v>
      </c>
      <c r="AL52" s="145">
        <v>1</v>
      </c>
      <c r="AM52" s="145">
        <v>6</v>
      </c>
      <c r="AN52" s="146">
        <v>4</v>
      </c>
      <c r="AP52" s="166"/>
      <c r="AQ52" s="190" t="s">
        <v>209</v>
      </c>
      <c r="AR52" s="191">
        <v>3</v>
      </c>
      <c r="AS52" s="191">
        <v>1</v>
      </c>
      <c r="AT52" s="191">
        <v>4</v>
      </c>
      <c r="AU52" s="192">
        <v>3</v>
      </c>
      <c r="AV52" s="167"/>
      <c r="AX52" s="147"/>
      <c r="AY52" s="148"/>
      <c r="AZ52" s="148"/>
      <c r="BA52" s="148"/>
      <c r="BB52" s="149"/>
      <c r="BD52" s="166"/>
      <c r="BE52" s="148"/>
      <c r="BF52" s="148"/>
      <c r="BG52" s="148"/>
      <c r="BH52" s="148"/>
      <c r="BI52" s="149"/>
      <c r="BJ52" s="167"/>
      <c r="BL52" s="148"/>
      <c r="BM52" s="148"/>
      <c r="BN52" s="148"/>
      <c r="BO52" s="148"/>
      <c r="BP52" s="149"/>
      <c r="BR52" s="141"/>
      <c r="BS52" s="214" t="s">
        <v>168</v>
      </c>
      <c r="BT52" s="215">
        <f>AK52+AR52+AY52</f>
        <v>8</v>
      </c>
      <c r="BU52" s="215">
        <f>AL52+AS52+AZ52</f>
        <v>2</v>
      </c>
      <c r="BV52" s="215">
        <f>AM52+AT52+BA52</f>
        <v>10</v>
      </c>
      <c r="BW52" s="216">
        <f>AN52+AU52+BB52</f>
        <v>7</v>
      </c>
      <c r="BX52" s="701"/>
      <c r="CC52" s="819"/>
    </row>
    <row r="53" spans="1:81" ht="10" customHeight="1" thickBot="1">
      <c r="A53" s="681"/>
      <c r="B53" s="143"/>
      <c r="C53" s="684"/>
      <c r="D53" s="858"/>
      <c r="E53" s="814"/>
      <c r="F53" s="815"/>
      <c r="G53" s="180"/>
      <c r="H53" s="181"/>
      <c r="I53" s="181"/>
      <c r="J53" s="181"/>
      <c r="K53" s="181"/>
      <c r="L53" s="182"/>
      <c r="M53" s="183"/>
      <c r="N53" s="184"/>
      <c r="O53" s="181"/>
      <c r="P53" s="181"/>
      <c r="Q53" s="181"/>
      <c r="R53" s="181"/>
      <c r="S53" s="182"/>
      <c r="T53" s="185"/>
      <c r="U53" s="183"/>
      <c r="V53" s="181"/>
      <c r="W53" s="181"/>
      <c r="X53" s="181"/>
      <c r="Y53" s="181"/>
      <c r="Z53" s="182"/>
      <c r="AA53" s="183"/>
      <c r="AB53" s="184"/>
      <c r="AC53" s="183"/>
      <c r="AD53" s="183"/>
      <c r="AE53" s="183"/>
      <c r="AF53" s="183"/>
      <c r="AG53" s="183"/>
      <c r="AH53" s="185"/>
      <c r="AI53" s="183"/>
      <c r="AJ53" s="183"/>
      <c r="AK53" s="183"/>
      <c r="AL53" s="183"/>
      <c r="AM53" s="183"/>
      <c r="AN53" s="183"/>
      <c r="AO53" s="183"/>
      <c r="AP53" s="184"/>
      <c r="AQ53" s="183"/>
      <c r="AR53" s="183"/>
      <c r="AS53" s="183"/>
      <c r="AT53" s="183"/>
      <c r="AU53" s="183"/>
      <c r="AV53" s="185"/>
      <c r="AW53" s="183"/>
      <c r="AX53" s="183"/>
      <c r="AY53" s="183"/>
      <c r="AZ53" s="183"/>
      <c r="BA53" s="183"/>
      <c r="BB53" s="183"/>
      <c r="BC53" s="183"/>
      <c r="BD53" s="184"/>
      <c r="BE53" s="183"/>
      <c r="BF53" s="183"/>
      <c r="BG53" s="183"/>
      <c r="BH53" s="183"/>
      <c r="BI53" s="183"/>
      <c r="BJ53" s="185"/>
      <c r="BK53" s="183"/>
      <c r="BL53" s="183"/>
      <c r="BM53" s="183"/>
      <c r="BN53" s="183"/>
      <c r="BO53" s="183"/>
      <c r="BP53" s="183"/>
      <c r="BQ53" s="183"/>
      <c r="BR53" s="141"/>
      <c r="BX53" s="701"/>
      <c r="CC53" s="819"/>
    </row>
    <row r="54" spans="1:81" ht="19.5" customHeight="1">
      <c r="A54" s="681"/>
      <c r="B54" s="143"/>
      <c r="C54" s="684"/>
      <c r="D54" s="858"/>
      <c r="E54" s="801" t="s">
        <v>224</v>
      </c>
      <c r="F54" s="802"/>
      <c r="G54" s="165"/>
      <c r="H54" s="148"/>
      <c r="I54" s="148"/>
      <c r="J54" s="148"/>
      <c r="K54" s="148"/>
      <c r="L54" s="149"/>
      <c r="N54" s="166"/>
      <c r="O54" s="148"/>
      <c r="P54" s="148"/>
      <c r="Q54" s="148"/>
      <c r="R54" s="148"/>
      <c r="S54" s="149"/>
      <c r="T54" s="167"/>
      <c r="AB54" s="166"/>
      <c r="AH54" s="167"/>
      <c r="AP54" s="166"/>
      <c r="AV54" s="167"/>
      <c r="BD54" s="166"/>
      <c r="BJ54" s="167"/>
      <c r="BR54" s="141"/>
      <c r="BX54" s="701"/>
      <c r="CC54" s="819"/>
    </row>
    <row r="55" spans="1:81" ht="34.5" customHeight="1">
      <c r="A55" s="681"/>
      <c r="B55" s="143"/>
      <c r="C55" s="684"/>
      <c r="D55" s="858"/>
      <c r="E55" s="803"/>
      <c r="F55" s="804"/>
      <c r="G55" s="165"/>
      <c r="N55" s="166"/>
      <c r="T55" s="167"/>
      <c r="V55" s="674"/>
      <c r="W55" s="674"/>
      <c r="X55" s="674"/>
      <c r="Y55" s="674"/>
      <c r="Z55" s="674"/>
      <c r="AA55" s="193"/>
      <c r="AB55" s="194"/>
      <c r="AC55" s="807" t="s">
        <v>225</v>
      </c>
      <c r="AD55" s="808"/>
      <c r="AE55" s="808"/>
      <c r="AF55" s="808"/>
      <c r="AG55" s="809"/>
      <c r="AH55" s="195"/>
      <c r="AI55" s="193"/>
      <c r="AJ55" s="807" t="s">
        <v>226</v>
      </c>
      <c r="AK55" s="808"/>
      <c r="AL55" s="808"/>
      <c r="AM55" s="808"/>
      <c r="AN55" s="809"/>
      <c r="AP55" s="166"/>
      <c r="AQ55" s="674"/>
      <c r="AR55" s="674"/>
      <c r="AS55" s="674"/>
      <c r="AT55" s="674"/>
      <c r="AU55" s="674"/>
      <c r="AV55" s="167"/>
      <c r="AX55" s="779"/>
      <c r="AY55" s="779"/>
      <c r="AZ55" s="779"/>
      <c r="BA55" s="779"/>
      <c r="BB55" s="779"/>
      <c r="BD55" s="166"/>
      <c r="BE55" s="779"/>
      <c r="BF55" s="779"/>
      <c r="BG55" s="779"/>
      <c r="BH55" s="779"/>
      <c r="BI55" s="779"/>
      <c r="BJ55" s="167"/>
      <c r="BL55" s="779"/>
      <c r="BM55" s="779"/>
      <c r="BN55" s="779"/>
      <c r="BO55" s="779"/>
      <c r="BP55" s="779"/>
      <c r="BR55" s="141"/>
      <c r="BS55" s="829" t="s">
        <v>224</v>
      </c>
      <c r="BT55" s="830"/>
      <c r="BU55" s="830"/>
      <c r="BV55" s="830"/>
      <c r="BW55" s="830"/>
      <c r="BX55" s="701"/>
      <c r="CC55" s="819"/>
    </row>
    <row r="56" spans="1:81" ht="18" customHeight="1">
      <c r="A56" s="681"/>
      <c r="B56" s="143"/>
      <c r="C56" s="684"/>
      <c r="D56" s="858"/>
      <c r="E56" s="803"/>
      <c r="F56" s="804"/>
      <c r="G56" s="165"/>
      <c r="N56" s="166"/>
      <c r="T56" s="167"/>
      <c r="V56" s="147"/>
      <c r="W56" s="148"/>
      <c r="X56" s="148"/>
      <c r="Y56" s="148"/>
      <c r="Z56" s="149"/>
      <c r="AB56" s="166"/>
      <c r="AC56" s="144" t="s">
        <v>209</v>
      </c>
      <c r="AD56" s="145">
        <v>2</v>
      </c>
      <c r="AE56" s="145">
        <v>1</v>
      </c>
      <c r="AF56" s="145">
        <v>3</v>
      </c>
      <c r="AG56" s="146">
        <v>2</v>
      </c>
      <c r="AH56" s="167"/>
      <c r="AJ56" s="144" t="s">
        <v>209</v>
      </c>
      <c r="AK56" s="145">
        <v>2</v>
      </c>
      <c r="AL56" s="145">
        <v>2</v>
      </c>
      <c r="AM56" s="145">
        <v>4</v>
      </c>
      <c r="AN56" s="146">
        <v>2</v>
      </c>
      <c r="AP56" s="166"/>
      <c r="AQ56" s="147"/>
      <c r="AR56" s="148"/>
      <c r="AS56" s="148"/>
      <c r="AT56" s="148"/>
      <c r="AU56" s="149"/>
      <c r="AV56" s="167"/>
      <c r="AX56" s="148"/>
      <c r="AY56" s="148"/>
      <c r="AZ56" s="148"/>
      <c r="BA56" s="148"/>
      <c r="BB56" s="149"/>
      <c r="BD56" s="166"/>
      <c r="BE56" s="148"/>
      <c r="BF56" s="148"/>
      <c r="BG56" s="148"/>
      <c r="BH56" s="148"/>
      <c r="BI56" s="149"/>
      <c r="BJ56" s="167"/>
      <c r="BL56" s="148"/>
      <c r="BM56" s="148"/>
      <c r="BN56" s="148"/>
      <c r="BO56" s="148"/>
      <c r="BP56" s="149"/>
      <c r="BR56" s="141"/>
      <c r="BS56" s="214" t="s">
        <v>168</v>
      </c>
      <c r="BT56" s="215">
        <f>AD56+AK56+AR56</f>
        <v>4</v>
      </c>
      <c r="BU56" s="215">
        <f>AE56+AL56+AS56</f>
        <v>3</v>
      </c>
      <c r="BV56" s="215">
        <f>AF56+AM56+AT56</f>
        <v>7</v>
      </c>
      <c r="BW56" s="216">
        <f>AG56+AN56+AU56</f>
        <v>4</v>
      </c>
      <c r="BX56" s="701"/>
      <c r="CC56" s="819"/>
    </row>
    <row r="57" spans="1:81" ht="23.25" customHeight="1" thickBot="1">
      <c r="A57" s="681"/>
      <c r="B57" s="143"/>
      <c r="C57" s="684"/>
      <c r="D57" s="859"/>
      <c r="E57" s="805"/>
      <c r="F57" s="806"/>
      <c r="G57" s="180"/>
      <c r="H57" s="181"/>
      <c r="I57" s="181"/>
      <c r="J57" s="181"/>
      <c r="K57" s="181"/>
      <c r="L57" s="182"/>
      <c r="M57" s="183"/>
      <c r="N57" s="184"/>
      <c r="O57" s="181"/>
      <c r="P57" s="181"/>
      <c r="Q57" s="181"/>
      <c r="R57" s="181"/>
      <c r="S57" s="182"/>
      <c r="T57" s="185"/>
      <c r="U57" s="183"/>
      <c r="V57" s="181"/>
      <c r="W57" s="181"/>
      <c r="X57" s="181"/>
      <c r="Y57" s="181"/>
      <c r="Z57" s="182"/>
      <c r="AA57" s="183"/>
      <c r="AB57" s="184"/>
      <c r="AC57" s="183"/>
      <c r="AD57" s="183"/>
      <c r="AE57" s="183"/>
      <c r="AF57" s="183"/>
      <c r="AG57" s="183"/>
      <c r="AH57" s="185"/>
      <c r="AI57" s="183"/>
      <c r="AJ57" s="183"/>
      <c r="AK57" s="183"/>
      <c r="AL57" s="183"/>
      <c r="AM57" s="183"/>
      <c r="AN57" s="183"/>
      <c r="AO57" s="183"/>
      <c r="AP57" s="184"/>
      <c r="AQ57" s="183"/>
      <c r="AR57" s="183"/>
      <c r="AS57" s="183"/>
      <c r="AT57" s="183"/>
      <c r="AU57" s="183"/>
      <c r="AV57" s="185"/>
      <c r="AW57" s="183"/>
      <c r="AX57" s="183"/>
      <c r="AY57" s="183"/>
      <c r="AZ57" s="183"/>
      <c r="BA57" s="183"/>
      <c r="BB57" s="183"/>
      <c r="BC57" s="183"/>
      <c r="BD57" s="184"/>
      <c r="BE57" s="183"/>
      <c r="BF57" s="183"/>
      <c r="BG57" s="183"/>
      <c r="BH57" s="183"/>
      <c r="BI57" s="183"/>
      <c r="BJ57" s="185"/>
      <c r="BK57" s="183"/>
      <c r="BL57" s="183"/>
      <c r="BM57" s="183"/>
      <c r="BN57" s="183"/>
      <c r="BO57" s="183"/>
      <c r="BP57" s="183"/>
      <c r="BQ57" s="183"/>
      <c r="BR57" s="141"/>
      <c r="BX57" s="701"/>
      <c r="CC57" s="819"/>
    </row>
    <row r="58" spans="1:81" ht="12.75" customHeight="1" thickBot="1">
      <c r="A58" s="681"/>
      <c r="B58" s="143"/>
      <c r="C58" s="748" t="s">
        <v>227</v>
      </c>
      <c r="D58" s="749" t="s">
        <v>228</v>
      </c>
      <c r="E58" s="750"/>
      <c r="F58" s="751"/>
      <c r="G58" s="758"/>
      <c r="H58" s="759"/>
      <c r="I58" s="759"/>
      <c r="J58" s="759"/>
      <c r="K58" s="759"/>
      <c r="L58" s="759"/>
      <c r="M58" s="760"/>
      <c r="N58" s="767"/>
      <c r="O58" s="768"/>
      <c r="P58" s="768"/>
      <c r="Q58" s="768"/>
      <c r="R58" s="768"/>
      <c r="S58" s="768"/>
      <c r="T58" s="769"/>
      <c r="U58" s="767"/>
      <c r="V58" s="768"/>
      <c r="W58" s="768"/>
      <c r="X58" s="768"/>
      <c r="Y58" s="768"/>
      <c r="Z58" s="768"/>
      <c r="AA58" s="769"/>
      <c r="AB58" s="217"/>
      <c r="AC58" s="218"/>
      <c r="AD58" s="218"/>
      <c r="AE58" s="218"/>
      <c r="AF58" s="218"/>
      <c r="AG58" s="218"/>
      <c r="AH58" s="219"/>
      <c r="AI58" s="217"/>
      <c r="AJ58" s="218"/>
      <c r="AK58" s="218"/>
      <c r="AL58" s="218"/>
      <c r="AM58" s="218"/>
      <c r="AN58" s="218"/>
      <c r="AO58" s="219"/>
      <c r="AP58" s="220"/>
      <c r="AQ58" s="221"/>
      <c r="AR58" s="221"/>
      <c r="AS58" s="221"/>
      <c r="AT58" s="221"/>
      <c r="AU58" s="221"/>
      <c r="AV58" s="222"/>
      <c r="AW58" s="217"/>
      <c r="AX58" s="218"/>
      <c r="AY58" s="218"/>
      <c r="AZ58" s="218"/>
      <c r="BA58" s="218"/>
      <c r="BB58" s="218"/>
      <c r="BC58" s="219"/>
      <c r="BD58" s="217"/>
      <c r="BE58" s="218"/>
      <c r="BF58" s="218"/>
      <c r="BG58" s="218"/>
      <c r="BH58" s="218"/>
      <c r="BI58" s="218"/>
      <c r="BJ58" s="219"/>
      <c r="BK58" s="767"/>
      <c r="BL58" s="768"/>
      <c r="BM58" s="768"/>
      <c r="BN58" s="768"/>
      <c r="BO58" s="768"/>
      <c r="BP58" s="768"/>
      <c r="BQ58" s="776"/>
      <c r="BR58" s="141"/>
      <c r="BX58" s="701"/>
      <c r="CC58" s="819"/>
    </row>
    <row r="59" spans="1:81" ht="30" customHeight="1">
      <c r="A59" s="681"/>
      <c r="B59" s="143"/>
      <c r="C59" s="748"/>
      <c r="D59" s="752"/>
      <c r="E59" s="753"/>
      <c r="F59" s="754"/>
      <c r="G59" s="761"/>
      <c r="H59" s="762"/>
      <c r="I59" s="762"/>
      <c r="J59" s="762"/>
      <c r="K59" s="762"/>
      <c r="L59" s="762"/>
      <c r="M59" s="763"/>
      <c r="N59" s="770"/>
      <c r="O59" s="771"/>
      <c r="P59" s="771"/>
      <c r="Q59" s="771"/>
      <c r="R59" s="771"/>
      <c r="S59" s="771"/>
      <c r="T59" s="772"/>
      <c r="U59" s="770"/>
      <c r="V59" s="771"/>
      <c r="W59" s="771"/>
      <c r="X59" s="771"/>
      <c r="Y59" s="771"/>
      <c r="Z59" s="771"/>
      <c r="AA59" s="772"/>
      <c r="AB59" s="223"/>
      <c r="AC59" s="702" t="s">
        <v>229</v>
      </c>
      <c r="AD59" s="703"/>
      <c r="AE59" s="703"/>
      <c r="AF59" s="703"/>
      <c r="AG59" s="704"/>
      <c r="AH59" s="167"/>
      <c r="AJ59" s="674"/>
      <c r="AK59" s="674"/>
      <c r="AL59" s="674"/>
      <c r="AM59" s="674"/>
      <c r="AN59" s="674"/>
      <c r="AO59" s="193"/>
      <c r="AP59" s="194"/>
      <c r="AQ59" s="702" t="s">
        <v>230</v>
      </c>
      <c r="AR59" s="703"/>
      <c r="AS59" s="703"/>
      <c r="AT59" s="703"/>
      <c r="AU59" s="704"/>
      <c r="AV59" s="167"/>
      <c r="AX59" s="675" t="s">
        <v>97</v>
      </c>
      <c r="AY59" s="676"/>
      <c r="AZ59" s="676"/>
      <c r="BA59" s="676"/>
      <c r="BB59" s="677"/>
      <c r="BD59" s="166"/>
      <c r="BE59" s="733" t="s">
        <v>231</v>
      </c>
      <c r="BF59" s="734"/>
      <c r="BG59" s="734"/>
      <c r="BH59" s="734"/>
      <c r="BI59" s="735"/>
      <c r="BJ59" s="224"/>
      <c r="BK59" s="770"/>
      <c r="BL59" s="771"/>
      <c r="BM59" s="771"/>
      <c r="BN59" s="771"/>
      <c r="BO59" s="771"/>
      <c r="BP59" s="771"/>
      <c r="BQ59" s="777"/>
      <c r="BR59" s="141"/>
      <c r="BS59" s="851" t="s">
        <v>232</v>
      </c>
      <c r="BT59" s="852"/>
      <c r="BU59" s="852"/>
      <c r="BV59" s="852"/>
      <c r="BW59" s="852"/>
      <c r="BX59" s="701"/>
      <c r="CC59" s="819"/>
    </row>
    <row r="60" spans="1:81" ht="20.25" customHeight="1" thickBot="1">
      <c r="A60" s="681"/>
      <c r="B60" s="143"/>
      <c r="C60" s="748"/>
      <c r="D60" s="752"/>
      <c r="E60" s="753"/>
      <c r="F60" s="754"/>
      <c r="G60" s="761"/>
      <c r="H60" s="762"/>
      <c r="I60" s="762"/>
      <c r="J60" s="762"/>
      <c r="K60" s="762"/>
      <c r="L60" s="762"/>
      <c r="M60" s="763"/>
      <c r="N60" s="770"/>
      <c r="O60" s="771"/>
      <c r="P60" s="771"/>
      <c r="Q60" s="771"/>
      <c r="R60" s="771"/>
      <c r="S60" s="771"/>
      <c r="T60" s="772"/>
      <c r="U60" s="770"/>
      <c r="V60" s="771"/>
      <c r="W60" s="771"/>
      <c r="X60" s="771"/>
      <c r="Y60" s="771"/>
      <c r="Z60" s="771"/>
      <c r="AA60" s="772"/>
      <c r="AB60" s="223"/>
      <c r="AC60" s="225" t="s">
        <v>209</v>
      </c>
      <c r="AD60" s="226">
        <v>4</v>
      </c>
      <c r="AE60" s="226">
        <v>1</v>
      </c>
      <c r="AF60" s="226">
        <v>5</v>
      </c>
      <c r="AG60" s="227">
        <v>3</v>
      </c>
      <c r="AH60" s="167"/>
      <c r="AJ60" s="228"/>
      <c r="AK60" s="229"/>
      <c r="AL60" s="229"/>
      <c r="AM60" s="229"/>
      <c r="AN60" s="230"/>
      <c r="AO60" s="193"/>
      <c r="AP60" s="194"/>
      <c r="AQ60" s="225" t="s">
        <v>209</v>
      </c>
      <c r="AR60" s="226">
        <v>2</v>
      </c>
      <c r="AS60" s="226">
        <v>1</v>
      </c>
      <c r="AT60" s="226">
        <v>3</v>
      </c>
      <c r="AU60" s="227">
        <v>2</v>
      </c>
      <c r="AV60" s="167"/>
      <c r="AX60" s="231" t="s">
        <v>209</v>
      </c>
      <c r="AY60" s="232">
        <v>2</v>
      </c>
      <c r="AZ60" s="232">
        <v>2</v>
      </c>
      <c r="BA60" s="232">
        <v>4</v>
      </c>
      <c r="BB60" s="233">
        <v>3</v>
      </c>
      <c r="BD60" s="166"/>
      <c r="BE60" s="234" t="s">
        <v>209</v>
      </c>
      <c r="BF60" s="235">
        <v>3</v>
      </c>
      <c r="BG60" s="235">
        <v>1</v>
      </c>
      <c r="BH60" s="235">
        <v>4</v>
      </c>
      <c r="BI60" s="236">
        <v>3</v>
      </c>
      <c r="BJ60" s="224"/>
      <c r="BK60" s="770"/>
      <c r="BL60" s="771"/>
      <c r="BM60" s="771"/>
      <c r="BN60" s="771"/>
      <c r="BO60" s="771"/>
      <c r="BP60" s="771"/>
      <c r="BQ60" s="777"/>
      <c r="BR60" s="141"/>
      <c r="BS60" s="237" t="s">
        <v>168</v>
      </c>
      <c r="BT60" s="238">
        <v>11</v>
      </c>
      <c r="BU60" s="238">
        <v>5</v>
      </c>
      <c r="BV60" s="238">
        <v>16</v>
      </c>
      <c r="BW60" s="239">
        <v>11</v>
      </c>
      <c r="BX60" s="701"/>
      <c r="CC60" s="819"/>
    </row>
    <row r="61" spans="1:81" ht="48.75" customHeight="1">
      <c r="A61" s="681"/>
      <c r="B61" s="143"/>
      <c r="C61" s="748"/>
      <c r="D61" s="755"/>
      <c r="E61" s="756"/>
      <c r="F61" s="757"/>
      <c r="G61" s="764"/>
      <c r="H61" s="765"/>
      <c r="I61" s="765"/>
      <c r="J61" s="765"/>
      <c r="K61" s="765"/>
      <c r="L61" s="765"/>
      <c r="M61" s="766"/>
      <c r="N61" s="773"/>
      <c r="O61" s="774"/>
      <c r="P61" s="774"/>
      <c r="Q61" s="774"/>
      <c r="R61" s="774"/>
      <c r="S61" s="774"/>
      <c r="T61" s="775"/>
      <c r="U61" s="773"/>
      <c r="V61" s="774"/>
      <c r="W61" s="774"/>
      <c r="X61" s="774"/>
      <c r="Y61" s="774"/>
      <c r="Z61" s="774"/>
      <c r="AA61" s="775"/>
      <c r="AB61" s="240"/>
      <c r="AC61" s="241"/>
      <c r="AD61" s="241"/>
      <c r="AE61" s="241"/>
      <c r="AF61" s="241"/>
      <c r="AG61" s="241"/>
      <c r="AH61" s="242"/>
      <c r="AI61" s="240"/>
      <c r="AJ61" s="241"/>
      <c r="AK61" s="241"/>
      <c r="AL61" s="241"/>
      <c r="AM61" s="241"/>
      <c r="AN61" s="241"/>
      <c r="AO61" s="242"/>
      <c r="AP61" s="243"/>
      <c r="AQ61" s="244"/>
      <c r="AR61" s="244"/>
      <c r="AS61" s="244"/>
      <c r="AT61" s="244"/>
      <c r="AU61" s="244"/>
      <c r="AV61" s="245"/>
      <c r="AW61" s="240"/>
      <c r="AX61" s="241"/>
      <c r="AY61" s="241"/>
      <c r="AZ61" s="241"/>
      <c r="BA61" s="241"/>
      <c r="BB61" s="241"/>
      <c r="BC61" s="242"/>
      <c r="BD61" s="240"/>
      <c r="BE61" s="241"/>
      <c r="BF61" s="241"/>
      <c r="BG61" s="241"/>
      <c r="BH61" s="241"/>
      <c r="BI61" s="241"/>
      <c r="BJ61" s="242"/>
      <c r="BK61" s="773"/>
      <c r="BL61" s="774"/>
      <c r="BM61" s="774"/>
      <c r="BN61" s="774"/>
      <c r="BO61" s="774"/>
      <c r="BP61" s="774"/>
      <c r="BQ61" s="778"/>
      <c r="BR61" s="141"/>
      <c r="BX61" s="701"/>
      <c r="CC61" s="819"/>
    </row>
    <row r="62" spans="1:81" ht="13.5" customHeight="1" thickBot="1">
      <c r="A62" s="681"/>
      <c r="B62" s="143"/>
      <c r="C62" s="748"/>
      <c r="D62" s="792" t="s">
        <v>233</v>
      </c>
      <c r="E62" s="793"/>
      <c r="F62" s="794"/>
      <c r="G62" s="165"/>
      <c r="H62" s="148"/>
      <c r="I62" s="148"/>
      <c r="J62" s="148"/>
      <c r="K62" s="148"/>
      <c r="L62" s="149"/>
      <c r="N62" s="166"/>
      <c r="O62" s="148"/>
      <c r="P62" s="148"/>
      <c r="Q62" s="148"/>
      <c r="R62" s="148"/>
      <c r="S62" s="149"/>
      <c r="T62" s="167"/>
      <c r="V62" s="148"/>
      <c r="W62" s="148"/>
      <c r="X62" s="148"/>
      <c r="Y62" s="148"/>
      <c r="Z62" s="149"/>
      <c r="AB62" s="166"/>
      <c r="AH62" s="167"/>
      <c r="AO62" s="193"/>
      <c r="AP62" s="194"/>
      <c r="AV62" s="167"/>
      <c r="AX62" s="147"/>
      <c r="AY62" s="148"/>
      <c r="AZ62" s="148"/>
      <c r="BA62" s="148"/>
      <c r="BB62" s="149"/>
      <c r="BD62" s="166"/>
      <c r="BJ62" s="167"/>
      <c r="BR62" s="246"/>
      <c r="BS62" s="247"/>
      <c r="BT62" s="247"/>
      <c r="BU62" s="247"/>
      <c r="BV62" s="247"/>
      <c r="BW62" s="247"/>
      <c r="BX62" s="701"/>
      <c r="CC62" s="819"/>
    </row>
    <row r="63" spans="1:81" ht="12.75" hidden="1" customHeight="1">
      <c r="A63" s="681"/>
      <c r="B63" s="143"/>
      <c r="C63" s="748"/>
      <c r="D63" s="795"/>
      <c r="E63" s="796"/>
      <c r="F63" s="797"/>
      <c r="G63" s="165"/>
      <c r="H63" s="148"/>
      <c r="I63" s="148"/>
      <c r="J63" s="148"/>
      <c r="K63" s="148"/>
      <c r="L63" s="149"/>
      <c r="N63" s="166"/>
      <c r="O63" s="148"/>
      <c r="P63" s="148"/>
      <c r="Q63" s="148"/>
      <c r="R63" s="148"/>
      <c r="S63" s="149"/>
      <c r="T63" s="167"/>
      <c r="V63" s="148"/>
      <c r="W63" s="148"/>
      <c r="X63" s="148"/>
      <c r="Y63" s="148"/>
      <c r="Z63" s="149"/>
      <c r="AB63" s="166"/>
      <c r="AH63" s="167"/>
      <c r="AJ63" s="193"/>
      <c r="AK63" s="193"/>
      <c r="AL63" s="193"/>
      <c r="AM63" s="193"/>
      <c r="AN63" s="193"/>
      <c r="AO63" s="193"/>
      <c r="AP63" s="194"/>
      <c r="AQ63" s="193"/>
      <c r="AR63" s="193"/>
      <c r="AS63" s="193"/>
      <c r="AT63" s="193"/>
      <c r="AU63" s="193"/>
      <c r="AV63" s="167"/>
      <c r="BD63" s="166"/>
      <c r="BJ63" s="167"/>
      <c r="BR63" s="141"/>
      <c r="BX63" s="701"/>
      <c r="CC63" s="819"/>
    </row>
    <row r="64" spans="1:81" s="197" customFormat="1" ht="48" customHeight="1">
      <c r="A64" s="681"/>
      <c r="B64" s="143"/>
      <c r="C64" s="748"/>
      <c r="D64" s="795"/>
      <c r="E64" s="796"/>
      <c r="F64" s="797"/>
      <c r="G64" s="165"/>
      <c r="H64" s="674"/>
      <c r="I64" s="674"/>
      <c r="J64" s="674"/>
      <c r="K64" s="674"/>
      <c r="L64" s="674"/>
      <c r="M64" s="193"/>
      <c r="N64" s="194"/>
      <c r="O64" s="229"/>
      <c r="P64" s="229"/>
      <c r="Q64" s="229"/>
      <c r="R64" s="229"/>
      <c r="S64" s="230"/>
      <c r="T64" s="195"/>
      <c r="U64" s="193"/>
      <c r="V64" s="229"/>
      <c r="W64" s="229"/>
      <c r="X64" s="229"/>
      <c r="Y64" s="229"/>
      <c r="Z64" s="230"/>
      <c r="AA64" s="193"/>
      <c r="AB64" s="194"/>
      <c r="AC64" s="702" t="s">
        <v>234</v>
      </c>
      <c r="AD64" s="703"/>
      <c r="AE64" s="703"/>
      <c r="AF64" s="703"/>
      <c r="AG64" s="704"/>
      <c r="AH64" s="195"/>
      <c r="AI64" s="193"/>
      <c r="AJ64" s="671" t="s">
        <v>88</v>
      </c>
      <c r="AK64" s="672"/>
      <c r="AL64" s="672"/>
      <c r="AM64" s="672"/>
      <c r="AN64" s="673"/>
      <c r="AO64" s="193"/>
      <c r="AP64" s="194"/>
      <c r="AQ64" s="674"/>
      <c r="AR64" s="674"/>
      <c r="AS64" s="674"/>
      <c r="AT64" s="674"/>
      <c r="AU64" s="674"/>
      <c r="AV64" s="195"/>
      <c r="AW64" s="193"/>
      <c r="AX64" s="675" t="s">
        <v>235</v>
      </c>
      <c r="AY64" s="676"/>
      <c r="AZ64" s="676"/>
      <c r="BA64" s="676"/>
      <c r="BB64" s="677"/>
      <c r="BC64" s="193"/>
      <c r="BD64" s="194"/>
      <c r="BE64" s="675" t="s">
        <v>236</v>
      </c>
      <c r="BF64" s="676"/>
      <c r="BG64" s="676"/>
      <c r="BH64" s="676"/>
      <c r="BI64" s="677"/>
      <c r="BJ64" s="195"/>
      <c r="BK64" s="193"/>
      <c r="BQ64" s="193"/>
      <c r="BR64" s="196"/>
      <c r="BS64" s="851" t="s">
        <v>237</v>
      </c>
      <c r="BT64" s="852"/>
      <c r="BU64" s="852"/>
      <c r="BV64" s="852"/>
      <c r="BW64" s="852"/>
      <c r="BX64" s="701"/>
      <c r="BZ64" s="198"/>
      <c r="CC64" s="819"/>
    </row>
    <row r="65" spans="1:81" ht="18" customHeight="1" thickBot="1">
      <c r="A65" s="681"/>
      <c r="B65" s="143"/>
      <c r="C65" s="748"/>
      <c r="D65" s="795"/>
      <c r="E65" s="796"/>
      <c r="F65" s="797"/>
      <c r="G65" s="165"/>
      <c r="H65" s="148"/>
      <c r="I65" s="148"/>
      <c r="J65" s="148"/>
      <c r="K65" s="148"/>
      <c r="L65" s="149"/>
      <c r="N65" s="166"/>
      <c r="O65" s="148"/>
      <c r="P65" s="148"/>
      <c r="Q65" s="148"/>
      <c r="R65" s="148"/>
      <c r="S65" s="149"/>
      <c r="T65" s="167"/>
      <c r="V65" s="148"/>
      <c r="W65" s="148"/>
      <c r="X65" s="148"/>
      <c r="Y65" s="148"/>
      <c r="Z65" s="149"/>
      <c r="AB65" s="166"/>
      <c r="AC65" s="225" t="s">
        <v>180</v>
      </c>
      <c r="AD65" s="226">
        <v>2</v>
      </c>
      <c r="AE65" s="226">
        <v>0</v>
      </c>
      <c r="AF65" s="226">
        <v>4</v>
      </c>
      <c r="AG65" s="227">
        <v>2</v>
      </c>
      <c r="AH65" s="167"/>
      <c r="AJ65" s="211" t="s">
        <v>209</v>
      </c>
      <c r="AK65" s="212">
        <v>2</v>
      </c>
      <c r="AL65" s="212">
        <v>1</v>
      </c>
      <c r="AM65" s="212">
        <v>3</v>
      </c>
      <c r="AN65" s="213">
        <v>2</v>
      </c>
      <c r="AP65" s="166"/>
      <c r="AQ65" s="147"/>
      <c r="AR65" s="148"/>
      <c r="AS65" s="148"/>
      <c r="AT65" s="148"/>
      <c r="AU65" s="149"/>
      <c r="AV65" s="167"/>
      <c r="AX65" s="190" t="s">
        <v>209</v>
      </c>
      <c r="AY65" s="191">
        <v>2</v>
      </c>
      <c r="AZ65" s="191">
        <v>0</v>
      </c>
      <c r="BA65" s="191">
        <v>4</v>
      </c>
      <c r="BB65" s="192">
        <v>2</v>
      </c>
      <c r="BD65" s="166"/>
      <c r="BE65" s="190" t="s">
        <v>209</v>
      </c>
      <c r="BF65" s="191">
        <v>3</v>
      </c>
      <c r="BG65" s="191">
        <v>1</v>
      </c>
      <c r="BH65" s="191">
        <v>4</v>
      </c>
      <c r="BI65" s="192">
        <v>2</v>
      </c>
      <c r="BJ65" s="167"/>
      <c r="BR65" s="141"/>
      <c r="BS65" s="237" t="s">
        <v>168</v>
      </c>
      <c r="BT65" s="238">
        <v>9</v>
      </c>
      <c r="BU65" s="238">
        <f>AS65+AL65+BG65</f>
        <v>2</v>
      </c>
      <c r="BV65" s="238">
        <v>15</v>
      </c>
      <c r="BW65" s="239">
        <v>8</v>
      </c>
      <c r="BX65" s="701"/>
      <c r="CC65" s="819"/>
    </row>
    <row r="66" spans="1:81" ht="12.75" customHeight="1" thickBot="1">
      <c r="A66" s="681"/>
      <c r="B66" s="143"/>
      <c r="C66" s="748"/>
      <c r="D66" s="798"/>
      <c r="E66" s="799"/>
      <c r="F66" s="800"/>
      <c r="G66" s="248"/>
      <c r="H66" s="249"/>
      <c r="I66" s="249"/>
      <c r="J66" s="249"/>
      <c r="K66" s="249"/>
      <c r="L66" s="250"/>
      <c r="M66" s="251"/>
      <c r="N66" s="252"/>
      <c r="O66" s="249"/>
      <c r="P66" s="249"/>
      <c r="Q66" s="249"/>
      <c r="R66" s="249"/>
      <c r="S66" s="250"/>
      <c r="T66" s="253"/>
      <c r="U66" s="251"/>
      <c r="V66" s="249"/>
      <c r="W66" s="249"/>
      <c r="X66" s="249"/>
      <c r="Y66" s="249"/>
      <c r="Z66" s="250"/>
      <c r="AA66" s="251"/>
      <c r="AB66" s="252"/>
      <c r="AC66" s="251"/>
      <c r="AD66" s="251"/>
      <c r="AE66" s="251"/>
      <c r="AF66" s="251"/>
      <c r="AG66" s="251"/>
      <c r="AH66" s="253"/>
      <c r="AI66" s="251"/>
      <c r="AJ66" s="251"/>
      <c r="AK66" s="251"/>
      <c r="AL66" s="251"/>
      <c r="AM66" s="251"/>
      <c r="AN66" s="251"/>
      <c r="AO66" s="251"/>
      <c r="AP66" s="252"/>
      <c r="AQ66" s="251"/>
      <c r="AR66" s="251"/>
      <c r="AS66" s="251"/>
      <c r="AT66" s="251"/>
      <c r="AU66" s="251"/>
      <c r="AV66" s="253"/>
      <c r="AW66" s="251"/>
      <c r="AX66" s="251"/>
      <c r="AY66" s="251"/>
      <c r="AZ66" s="251"/>
      <c r="BA66" s="251"/>
      <c r="BB66" s="251"/>
      <c r="BC66" s="251"/>
      <c r="BD66" s="252"/>
      <c r="BE66" s="251"/>
      <c r="BF66" s="251"/>
      <c r="BG66" s="251"/>
      <c r="BH66" s="251"/>
      <c r="BI66" s="251"/>
      <c r="BJ66" s="253"/>
      <c r="BK66" s="251"/>
      <c r="BL66" s="251"/>
      <c r="BM66" s="251"/>
      <c r="BN66" s="251"/>
      <c r="BO66" s="251"/>
      <c r="BP66" s="251"/>
      <c r="BQ66" s="251"/>
      <c r="BR66" s="141"/>
      <c r="BX66" s="701"/>
      <c r="CC66" s="819"/>
    </row>
    <row r="67" spans="1:81" ht="12.75" customHeight="1" thickBot="1">
      <c r="A67" s="681"/>
      <c r="B67" s="143"/>
      <c r="C67" s="748"/>
      <c r="D67" s="780" t="s">
        <v>238</v>
      </c>
      <c r="E67" s="781"/>
      <c r="F67" s="782"/>
      <c r="G67" s="165"/>
      <c r="H67" s="148"/>
      <c r="I67" s="148"/>
      <c r="J67" s="148"/>
      <c r="K67" s="148"/>
      <c r="L67" s="149"/>
      <c r="N67" s="166"/>
      <c r="O67" s="148"/>
      <c r="P67" s="148"/>
      <c r="Q67" s="148"/>
      <c r="R67" s="148"/>
      <c r="S67" s="149"/>
      <c r="T67" s="167"/>
      <c r="V67" s="148"/>
      <c r="W67" s="148"/>
      <c r="X67" s="148"/>
      <c r="Y67" s="148"/>
      <c r="Z67" s="149"/>
      <c r="AB67" s="166"/>
      <c r="AH67" s="167"/>
      <c r="AP67" s="166"/>
      <c r="AV67" s="167"/>
      <c r="BD67" s="166"/>
      <c r="BJ67" s="167"/>
      <c r="BR67" s="141"/>
      <c r="BX67" s="701"/>
      <c r="CC67" s="819"/>
    </row>
    <row r="68" spans="1:81" ht="42" customHeight="1">
      <c r="A68" s="681"/>
      <c r="B68" s="143"/>
      <c r="C68" s="748"/>
      <c r="D68" s="783"/>
      <c r="E68" s="784"/>
      <c r="F68" s="785"/>
      <c r="G68" s="165"/>
      <c r="H68" s="148"/>
      <c r="I68" s="148"/>
      <c r="J68" s="148"/>
      <c r="K68" s="148"/>
      <c r="L68" s="149"/>
      <c r="N68" s="166"/>
      <c r="O68" s="148"/>
      <c r="P68" s="148"/>
      <c r="Q68" s="148"/>
      <c r="R68" s="148"/>
      <c r="S68" s="149"/>
      <c r="T68" s="167"/>
      <c r="V68" s="148"/>
      <c r="W68" s="148"/>
      <c r="X68" s="148"/>
      <c r="Y68" s="148"/>
      <c r="Z68" s="149"/>
      <c r="AB68" s="166"/>
      <c r="AH68" s="167"/>
      <c r="AJ68" s="789" t="s">
        <v>239</v>
      </c>
      <c r="AK68" s="790"/>
      <c r="AL68" s="790"/>
      <c r="AM68" s="790"/>
      <c r="AN68" s="791"/>
      <c r="AP68" s="166"/>
      <c r="AV68" s="167"/>
      <c r="AX68" s="733" t="s">
        <v>240</v>
      </c>
      <c r="AY68" s="734"/>
      <c r="AZ68" s="734"/>
      <c r="BA68" s="734"/>
      <c r="BB68" s="735"/>
      <c r="BD68" s="166"/>
      <c r="BE68" s="733" t="s">
        <v>94</v>
      </c>
      <c r="BF68" s="734"/>
      <c r="BG68" s="734"/>
      <c r="BH68" s="734"/>
      <c r="BI68" s="735"/>
      <c r="BJ68" s="167"/>
      <c r="BR68" s="141"/>
      <c r="BS68" s="853" t="s">
        <v>241</v>
      </c>
      <c r="BT68" s="854"/>
      <c r="BU68" s="854"/>
      <c r="BV68" s="854"/>
      <c r="BW68" s="854"/>
      <c r="BX68" s="701"/>
      <c r="CC68" s="819"/>
    </row>
    <row r="69" spans="1:81" ht="18" customHeight="1" thickBot="1">
      <c r="A69" s="681"/>
      <c r="B69" s="143"/>
      <c r="C69" s="748"/>
      <c r="D69" s="783"/>
      <c r="E69" s="784"/>
      <c r="F69" s="785"/>
      <c r="G69" s="165"/>
      <c r="H69" s="148"/>
      <c r="I69" s="148"/>
      <c r="J69" s="148"/>
      <c r="K69" s="148"/>
      <c r="L69" s="149"/>
      <c r="N69" s="166"/>
      <c r="O69" s="148"/>
      <c r="P69" s="148"/>
      <c r="Q69" s="148"/>
      <c r="R69" s="148"/>
      <c r="S69" s="149"/>
      <c r="T69" s="167"/>
      <c r="V69" s="148"/>
      <c r="W69" s="148"/>
      <c r="X69" s="148"/>
      <c r="Y69" s="148"/>
      <c r="Z69" s="149"/>
      <c r="AB69" s="166"/>
      <c r="AH69" s="167"/>
      <c r="AJ69" s="144" t="s">
        <v>180</v>
      </c>
      <c r="AK69" s="145">
        <v>3</v>
      </c>
      <c r="AL69" s="145">
        <v>0</v>
      </c>
      <c r="AM69" s="145">
        <v>6</v>
      </c>
      <c r="AN69" s="146">
        <f>(SUM(AK69*3)+(AL69))*16/48</f>
        <v>3</v>
      </c>
      <c r="AP69" s="166"/>
      <c r="AV69" s="167"/>
      <c r="AX69" s="234" t="s">
        <v>209</v>
      </c>
      <c r="AY69" s="235">
        <v>2</v>
      </c>
      <c r="AZ69" s="235">
        <v>1</v>
      </c>
      <c r="BA69" s="235">
        <v>3</v>
      </c>
      <c r="BB69" s="236">
        <v>2</v>
      </c>
      <c r="BD69" s="166"/>
      <c r="BE69" s="234" t="s">
        <v>209</v>
      </c>
      <c r="BF69" s="235">
        <v>2</v>
      </c>
      <c r="BG69" s="235">
        <v>2</v>
      </c>
      <c r="BH69" s="235">
        <v>4</v>
      </c>
      <c r="BI69" s="236">
        <v>3</v>
      </c>
      <c r="BJ69" s="167"/>
      <c r="BR69" s="141"/>
      <c r="BS69" s="254" t="s">
        <v>168</v>
      </c>
      <c r="BT69" s="255">
        <v>9</v>
      </c>
      <c r="BU69" s="255">
        <v>5</v>
      </c>
      <c r="BV69" s="255">
        <v>17</v>
      </c>
      <c r="BW69" s="256">
        <v>11</v>
      </c>
      <c r="BX69" s="701"/>
      <c r="CC69" s="819"/>
    </row>
    <row r="70" spans="1:81" ht="18" customHeight="1" thickBot="1">
      <c r="A70" s="681"/>
      <c r="B70" s="143"/>
      <c r="C70" s="748"/>
      <c r="D70" s="783"/>
      <c r="E70" s="784"/>
      <c r="F70" s="785"/>
      <c r="G70" s="165"/>
      <c r="H70" s="148"/>
      <c r="I70" s="148"/>
      <c r="J70" s="148"/>
      <c r="K70" s="148"/>
      <c r="L70" s="149"/>
      <c r="N70" s="166"/>
      <c r="O70" s="148"/>
      <c r="P70" s="148"/>
      <c r="Q70" s="148"/>
      <c r="R70" s="148"/>
      <c r="S70" s="149"/>
      <c r="T70" s="167"/>
      <c r="V70" s="148"/>
      <c r="W70" s="148"/>
      <c r="X70" s="148"/>
      <c r="Y70" s="148"/>
      <c r="Z70" s="149"/>
      <c r="AB70" s="166"/>
      <c r="AH70" s="167"/>
      <c r="AJ70" s="147"/>
      <c r="AK70" s="148"/>
      <c r="AL70" s="148"/>
      <c r="AM70" s="148"/>
      <c r="AN70" s="149"/>
      <c r="AP70" s="166"/>
      <c r="AV70" s="167"/>
      <c r="AX70" s="147"/>
      <c r="AY70" s="148"/>
      <c r="AZ70" s="148"/>
      <c r="BA70" s="148"/>
      <c r="BB70" s="149"/>
      <c r="BD70" s="166"/>
      <c r="BE70" s="147"/>
      <c r="BF70" s="148"/>
      <c r="BG70" s="148"/>
      <c r="BH70" s="148"/>
      <c r="BI70" s="149"/>
      <c r="BJ70" s="167"/>
      <c r="BR70" s="141"/>
      <c r="BS70" s="199"/>
      <c r="BT70" s="200"/>
      <c r="BU70" s="200"/>
      <c r="BV70" s="200"/>
      <c r="BW70" s="200"/>
      <c r="BX70" s="701"/>
      <c r="CC70" s="819"/>
    </row>
    <row r="71" spans="1:81" ht="34.5" customHeight="1">
      <c r="A71" s="681"/>
      <c r="B71" s="143"/>
      <c r="C71" s="748"/>
      <c r="D71" s="783"/>
      <c r="E71" s="784"/>
      <c r="F71" s="785"/>
      <c r="G71" s="165"/>
      <c r="H71" s="148"/>
      <c r="I71" s="148"/>
      <c r="J71" s="148"/>
      <c r="K71" s="148"/>
      <c r="L71" s="149"/>
      <c r="N71" s="166"/>
      <c r="O71" s="148"/>
      <c r="P71" s="148"/>
      <c r="Q71" s="148"/>
      <c r="R71" s="148"/>
      <c r="S71" s="149"/>
      <c r="T71" s="167"/>
      <c r="V71" s="148"/>
      <c r="W71" s="148"/>
      <c r="X71" s="148"/>
      <c r="Y71" s="148"/>
      <c r="Z71" s="149"/>
      <c r="AB71" s="166"/>
      <c r="AH71" s="167"/>
      <c r="AJ71" s="147"/>
      <c r="AK71" s="148"/>
      <c r="AL71" s="148"/>
      <c r="AM71" s="148"/>
      <c r="AN71" s="149"/>
      <c r="AP71" s="166"/>
      <c r="AV71" s="167"/>
      <c r="AX71" s="147"/>
      <c r="AY71" s="148"/>
      <c r="AZ71" s="148"/>
      <c r="BA71" s="148"/>
      <c r="BB71" s="149"/>
      <c r="BD71" s="166"/>
      <c r="BE71" s="733" t="s">
        <v>242</v>
      </c>
      <c r="BF71" s="734"/>
      <c r="BG71" s="734"/>
      <c r="BH71" s="734"/>
      <c r="BI71" s="735"/>
      <c r="BJ71" s="167"/>
      <c r="BR71" s="141"/>
      <c r="BS71" s="199"/>
      <c r="BT71" s="200"/>
      <c r="BU71" s="200"/>
      <c r="BV71" s="200"/>
      <c r="BW71" s="200"/>
      <c r="BX71" s="701"/>
      <c r="CC71" s="819"/>
    </row>
    <row r="72" spans="1:81" ht="18" customHeight="1" thickBot="1">
      <c r="A72" s="681"/>
      <c r="B72" s="143"/>
      <c r="C72" s="748"/>
      <c r="D72" s="783"/>
      <c r="E72" s="784"/>
      <c r="F72" s="785"/>
      <c r="G72" s="165"/>
      <c r="H72" s="148"/>
      <c r="I72" s="148"/>
      <c r="J72" s="148"/>
      <c r="K72" s="148"/>
      <c r="L72" s="149"/>
      <c r="N72" s="166"/>
      <c r="O72" s="148"/>
      <c r="P72" s="148"/>
      <c r="Q72" s="148"/>
      <c r="R72" s="148"/>
      <c r="S72" s="149"/>
      <c r="T72" s="167"/>
      <c r="V72" s="148"/>
      <c r="W72" s="148"/>
      <c r="X72" s="148"/>
      <c r="Y72" s="148"/>
      <c r="Z72" s="149"/>
      <c r="AB72" s="166"/>
      <c r="AH72" s="167"/>
      <c r="AJ72" s="147"/>
      <c r="AK72" s="148"/>
      <c r="AL72" s="148"/>
      <c r="AM72" s="148"/>
      <c r="AN72" s="149"/>
      <c r="AP72" s="166"/>
      <c r="AV72" s="167"/>
      <c r="AX72" s="147"/>
      <c r="AY72" s="148"/>
      <c r="AZ72" s="148"/>
      <c r="BA72" s="148"/>
      <c r="BB72" s="149"/>
      <c r="BD72" s="166"/>
      <c r="BE72" s="234" t="s">
        <v>209</v>
      </c>
      <c r="BF72" s="235">
        <v>2</v>
      </c>
      <c r="BG72" s="235">
        <v>2</v>
      </c>
      <c r="BH72" s="235">
        <v>4</v>
      </c>
      <c r="BI72" s="236">
        <v>3</v>
      </c>
      <c r="BJ72" s="167"/>
      <c r="BR72" s="141"/>
      <c r="BS72" s="199"/>
      <c r="BT72" s="200"/>
      <c r="BU72" s="200"/>
      <c r="BV72" s="200"/>
      <c r="BW72" s="200"/>
      <c r="BX72" s="701"/>
      <c r="CC72" s="819"/>
    </row>
    <row r="73" spans="1:81" ht="18" customHeight="1">
      <c r="A73" s="681"/>
      <c r="B73" s="143"/>
      <c r="C73" s="748"/>
      <c r="D73" s="783"/>
      <c r="E73" s="784"/>
      <c r="F73" s="785"/>
      <c r="G73" s="165"/>
      <c r="H73" s="148"/>
      <c r="I73" s="148"/>
      <c r="J73" s="148"/>
      <c r="K73" s="148"/>
      <c r="L73" s="149"/>
      <c r="N73" s="166"/>
      <c r="O73" s="148"/>
      <c r="P73" s="148"/>
      <c r="Q73" s="148"/>
      <c r="R73" s="148"/>
      <c r="S73" s="149"/>
      <c r="T73" s="167"/>
      <c r="V73" s="148"/>
      <c r="W73" s="148"/>
      <c r="X73" s="148"/>
      <c r="Y73" s="148"/>
      <c r="Z73" s="149"/>
      <c r="AB73" s="166"/>
      <c r="AH73" s="167"/>
      <c r="AJ73" s="147"/>
      <c r="AK73" s="148"/>
      <c r="AL73" s="148"/>
      <c r="AM73" s="148"/>
      <c r="AN73" s="149"/>
      <c r="AP73" s="166"/>
      <c r="AV73" s="167"/>
      <c r="AX73" s="147"/>
      <c r="AY73" s="148"/>
      <c r="AZ73" s="148"/>
      <c r="BA73" s="148"/>
      <c r="BB73" s="149"/>
      <c r="BD73" s="166"/>
      <c r="BE73" s="147"/>
      <c r="BF73" s="148"/>
      <c r="BG73" s="148"/>
      <c r="BH73" s="148"/>
      <c r="BI73" s="149"/>
      <c r="BJ73" s="167"/>
      <c r="BR73" s="141"/>
      <c r="BS73" s="199"/>
      <c r="BT73" s="200"/>
      <c r="BU73" s="200"/>
      <c r="BV73" s="200"/>
      <c r="BW73" s="200"/>
      <c r="BX73" s="701"/>
      <c r="CC73" s="819"/>
    </row>
    <row r="74" spans="1:81" ht="12.75" customHeight="1" thickBot="1">
      <c r="A74" s="681"/>
      <c r="B74" s="143"/>
      <c r="C74" s="748"/>
      <c r="D74" s="786"/>
      <c r="E74" s="787"/>
      <c r="F74" s="788"/>
      <c r="G74" s="248"/>
      <c r="H74" s="249"/>
      <c r="I74" s="249"/>
      <c r="J74" s="249"/>
      <c r="K74" s="249"/>
      <c r="L74" s="250"/>
      <c r="M74" s="251"/>
      <c r="N74" s="252"/>
      <c r="O74" s="249"/>
      <c r="P74" s="249"/>
      <c r="Q74" s="249"/>
      <c r="R74" s="249"/>
      <c r="S74" s="250"/>
      <c r="T74" s="253"/>
      <c r="U74" s="251"/>
      <c r="V74" s="249"/>
      <c r="W74" s="249"/>
      <c r="X74" s="249"/>
      <c r="Y74" s="249"/>
      <c r="Z74" s="250"/>
      <c r="AA74" s="251"/>
      <c r="AB74" s="252"/>
      <c r="AC74" s="251"/>
      <c r="AD74" s="251"/>
      <c r="AE74" s="251"/>
      <c r="AF74" s="251"/>
      <c r="AG74" s="251"/>
      <c r="AH74" s="253"/>
      <c r="AI74" s="251"/>
      <c r="AJ74" s="251"/>
      <c r="AK74" s="251"/>
      <c r="AL74" s="251"/>
      <c r="AM74" s="251"/>
      <c r="AN74" s="251"/>
      <c r="AO74" s="251"/>
      <c r="AP74" s="252"/>
      <c r="AQ74" s="251"/>
      <c r="AR74" s="251"/>
      <c r="AS74" s="251"/>
      <c r="AT74" s="251"/>
      <c r="AU74" s="251"/>
      <c r="AV74" s="253"/>
      <c r="AW74" s="251"/>
      <c r="AX74" s="251"/>
      <c r="AY74" s="251"/>
      <c r="AZ74" s="251"/>
      <c r="BA74" s="251"/>
      <c r="BB74" s="251"/>
      <c r="BC74" s="251"/>
      <c r="BD74" s="252"/>
      <c r="BE74" s="251"/>
      <c r="BF74" s="251"/>
      <c r="BG74" s="251"/>
      <c r="BH74" s="251"/>
      <c r="BI74" s="251"/>
      <c r="BJ74" s="253"/>
      <c r="BK74" s="251"/>
      <c r="BL74" s="251"/>
      <c r="BM74" s="251"/>
      <c r="BN74" s="251"/>
      <c r="BO74" s="251"/>
      <c r="BP74" s="251"/>
      <c r="BQ74" s="251"/>
      <c r="BR74" s="141"/>
      <c r="BX74" s="701"/>
      <c r="CC74" s="819"/>
    </row>
    <row r="75" spans="1:81" ht="9.75" customHeight="1" thickBot="1">
      <c r="A75" s="681"/>
      <c r="B75" s="143"/>
      <c r="C75" s="748"/>
      <c r="D75" s="736" t="s">
        <v>243</v>
      </c>
      <c r="E75" s="737"/>
      <c r="F75" s="738"/>
      <c r="G75" s="165"/>
      <c r="H75" s="148"/>
      <c r="I75" s="148"/>
      <c r="J75" s="148"/>
      <c r="K75" s="148"/>
      <c r="L75" s="149"/>
      <c r="N75" s="166"/>
      <c r="O75" s="148"/>
      <c r="P75" s="148"/>
      <c r="Q75" s="148"/>
      <c r="R75" s="148"/>
      <c r="S75" s="149"/>
      <c r="T75" s="167"/>
      <c r="V75" s="148"/>
      <c r="W75" s="148"/>
      <c r="X75" s="148"/>
      <c r="Y75" s="148"/>
      <c r="Z75" s="149"/>
      <c r="AB75" s="166"/>
      <c r="AH75" s="167"/>
      <c r="AP75" s="166"/>
      <c r="AV75" s="167"/>
      <c r="BD75" s="166"/>
      <c r="BJ75" s="167"/>
      <c r="BR75" s="141"/>
      <c r="BX75" s="701"/>
      <c r="CC75" s="819"/>
    </row>
    <row r="76" spans="1:81" ht="54" customHeight="1">
      <c r="A76" s="681"/>
      <c r="B76" s="143"/>
      <c r="C76" s="748"/>
      <c r="D76" s="739"/>
      <c r="E76" s="740"/>
      <c r="F76" s="741"/>
      <c r="G76" s="165"/>
      <c r="H76" s="148"/>
      <c r="I76" s="148"/>
      <c r="J76" s="148"/>
      <c r="K76" s="148"/>
      <c r="L76" s="149"/>
      <c r="N76" s="166"/>
      <c r="O76" s="148"/>
      <c r="P76" s="148"/>
      <c r="Q76" s="148"/>
      <c r="R76" s="148"/>
      <c r="S76" s="149"/>
      <c r="T76" s="167"/>
      <c r="V76" s="745" t="s">
        <v>244</v>
      </c>
      <c r="W76" s="746"/>
      <c r="X76" s="746"/>
      <c r="Y76" s="746"/>
      <c r="Z76" s="747"/>
      <c r="AB76" s="166"/>
      <c r="AH76" s="167"/>
      <c r="AJ76" s="745" t="s">
        <v>245</v>
      </c>
      <c r="AK76" s="746"/>
      <c r="AL76" s="746"/>
      <c r="AM76" s="746"/>
      <c r="AN76" s="747"/>
      <c r="AP76" s="166"/>
      <c r="AQ76" s="730" t="s">
        <v>246</v>
      </c>
      <c r="AR76" s="731"/>
      <c r="AS76" s="731"/>
      <c r="AT76" s="731"/>
      <c r="AU76" s="732"/>
      <c r="AV76" s="167"/>
      <c r="AX76" s="730" t="s">
        <v>247</v>
      </c>
      <c r="AY76" s="731"/>
      <c r="AZ76" s="731"/>
      <c r="BA76" s="731"/>
      <c r="BB76" s="732"/>
      <c r="BC76" s="257"/>
      <c r="BD76" s="258"/>
      <c r="BE76" s="733" t="s">
        <v>248</v>
      </c>
      <c r="BF76" s="734"/>
      <c r="BG76" s="734"/>
      <c r="BH76" s="734"/>
      <c r="BI76" s="735"/>
      <c r="BJ76" s="167"/>
      <c r="BL76" s="779"/>
      <c r="BM76" s="779"/>
      <c r="BN76" s="779"/>
      <c r="BO76" s="779"/>
      <c r="BP76" s="779"/>
      <c r="BR76" s="141"/>
      <c r="BS76" s="719" t="s">
        <v>249</v>
      </c>
      <c r="BT76" s="720"/>
      <c r="BU76" s="720"/>
      <c r="BV76" s="720"/>
      <c r="BW76" s="720"/>
      <c r="BX76" s="701"/>
      <c r="CC76" s="819"/>
    </row>
    <row r="77" spans="1:81" ht="18" customHeight="1" thickBot="1">
      <c r="A77" s="681"/>
      <c r="B77" s="143"/>
      <c r="C77" s="748"/>
      <c r="D77" s="739"/>
      <c r="E77" s="740"/>
      <c r="F77" s="741"/>
      <c r="G77" s="165"/>
      <c r="H77" s="148"/>
      <c r="I77" s="148"/>
      <c r="J77" s="148"/>
      <c r="K77" s="148"/>
      <c r="L77" s="149"/>
      <c r="N77" s="166"/>
      <c r="O77" s="148"/>
      <c r="P77" s="148"/>
      <c r="Q77" s="148"/>
      <c r="R77" s="148"/>
      <c r="S77" s="149"/>
      <c r="T77" s="167"/>
      <c r="V77" s="144" t="s">
        <v>180</v>
      </c>
      <c r="W77" s="145">
        <v>2</v>
      </c>
      <c r="X77" s="145">
        <v>0</v>
      </c>
      <c r="Y77" s="145">
        <v>4</v>
      </c>
      <c r="Z77" s="146">
        <f>(SUM(W77*3)+(X77))*16/48</f>
        <v>2</v>
      </c>
      <c r="AB77" s="166"/>
      <c r="AH77" s="167"/>
      <c r="AJ77" s="144" t="s">
        <v>209</v>
      </c>
      <c r="AK77" s="145">
        <v>2</v>
      </c>
      <c r="AL77" s="145">
        <v>1</v>
      </c>
      <c r="AM77" s="145">
        <v>3</v>
      </c>
      <c r="AN77" s="146">
        <f>(SUM(AK77*3)+(AL77))*16/48</f>
        <v>2.3333333333333335</v>
      </c>
      <c r="AP77" s="166"/>
      <c r="AQ77" s="190" t="s">
        <v>209</v>
      </c>
      <c r="AR77" s="191">
        <v>3</v>
      </c>
      <c r="AS77" s="191">
        <v>2</v>
      </c>
      <c r="AT77" s="191">
        <v>5</v>
      </c>
      <c r="AU77" s="192">
        <v>3</v>
      </c>
      <c r="AV77" s="167"/>
      <c r="AX77" s="190" t="s">
        <v>209</v>
      </c>
      <c r="AY77" s="191">
        <v>3</v>
      </c>
      <c r="AZ77" s="191">
        <v>2</v>
      </c>
      <c r="BA77" s="191">
        <v>5</v>
      </c>
      <c r="BB77" s="192">
        <v>3</v>
      </c>
      <c r="BD77" s="166"/>
      <c r="BE77" s="234" t="s">
        <v>209</v>
      </c>
      <c r="BF77" s="235">
        <v>2</v>
      </c>
      <c r="BG77" s="235">
        <v>1</v>
      </c>
      <c r="BH77" s="235">
        <v>3</v>
      </c>
      <c r="BI77" s="236">
        <v>2</v>
      </c>
      <c r="BJ77" s="167"/>
      <c r="BL77" s="147"/>
      <c r="BM77" s="148"/>
      <c r="BN77" s="148"/>
      <c r="BO77" s="148"/>
      <c r="BP77" s="149"/>
      <c r="BR77" s="141"/>
      <c r="BS77" s="259" t="s">
        <v>168</v>
      </c>
      <c r="BT77" s="260">
        <v>12</v>
      </c>
      <c r="BU77" s="260">
        <v>6</v>
      </c>
      <c r="BV77" s="260">
        <v>20</v>
      </c>
      <c r="BW77" s="261">
        <v>12</v>
      </c>
      <c r="BX77" s="701"/>
      <c r="CC77" s="819"/>
    </row>
    <row r="78" spans="1:81" ht="33" customHeight="1" thickBot="1">
      <c r="A78" s="681"/>
      <c r="B78" s="143"/>
      <c r="C78" s="748"/>
      <c r="D78" s="742"/>
      <c r="E78" s="743"/>
      <c r="F78" s="744"/>
      <c r="G78" s="248"/>
      <c r="H78" s="249"/>
      <c r="I78" s="249"/>
      <c r="J78" s="249"/>
      <c r="K78" s="249"/>
      <c r="L78" s="250"/>
      <c r="M78" s="251"/>
      <c r="N78" s="252"/>
      <c r="O78" s="249"/>
      <c r="P78" s="249"/>
      <c r="Q78" s="249"/>
      <c r="R78" s="249"/>
      <c r="S78" s="250"/>
      <c r="T78" s="253"/>
      <c r="U78" s="251"/>
      <c r="V78" s="249"/>
      <c r="W78" s="249"/>
      <c r="X78" s="249"/>
      <c r="Y78" s="249"/>
      <c r="Z78" s="250"/>
      <c r="AA78" s="251"/>
      <c r="AB78" s="252"/>
      <c r="AC78" s="251"/>
      <c r="AD78" s="251"/>
      <c r="AE78" s="251"/>
      <c r="AF78" s="251"/>
      <c r="AG78" s="251"/>
      <c r="AH78" s="253"/>
      <c r="AI78" s="251"/>
      <c r="AJ78" s="251"/>
      <c r="AK78" s="251"/>
      <c r="AL78" s="251"/>
      <c r="AM78" s="251"/>
      <c r="AN78" s="251"/>
      <c r="AO78" s="251"/>
      <c r="AP78" s="252"/>
      <c r="AQ78" s="251"/>
      <c r="AR78" s="251"/>
      <c r="AS78" s="251"/>
      <c r="AT78" s="251"/>
      <c r="AU78" s="251"/>
      <c r="AV78" s="253"/>
      <c r="AW78" s="251"/>
      <c r="AX78" s="251"/>
      <c r="AY78" s="251"/>
      <c r="AZ78" s="251"/>
      <c r="BA78" s="251"/>
      <c r="BB78" s="251"/>
      <c r="BC78" s="251"/>
      <c r="BD78" s="252"/>
      <c r="BE78" s="251"/>
      <c r="BF78" s="251"/>
      <c r="BG78" s="251"/>
      <c r="BH78" s="251"/>
      <c r="BI78" s="251"/>
      <c r="BJ78" s="253"/>
      <c r="BK78" s="251"/>
      <c r="BL78" s="251"/>
      <c r="BM78" s="251"/>
      <c r="BN78" s="251"/>
      <c r="BO78" s="251"/>
      <c r="BP78" s="251"/>
      <c r="BQ78" s="251"/>
      <c r="BR78" s="141"/>
      <c r="BX78" s="701"/>
      <c r="CC78" s="819"/>
    </row>
    <row r="79" spans="1:81" ht="18.75" customHeight="1" thickBot="1">
      <c r="A79" s="681"/>
      <c r="B79" s="143"/>
      <c r="C79" s="748"/>
      <c r="D79" s="721" t="s">
        <v>250</v>
      </c>
      <c r="E79" s="722"/>
      <c r="F79" s="723"/>
      <c r="G79" s="165"/>
      <c r="H79" s="148"/>
      <c r="I79" s="148"/>
      <c r="J79" s="148"/>
      <c r="K79" s="148"/>
      <c r="L79" s="149"/>
      <c r="N79" s="166"/>
      <c r="O79" s="148"/>
      <c r="P79" s="148"/>
      <c r="Q79" s="148"/>
      <c r="R79" s="148"/>
      <c r="S79" s="149"/>
      <c r="T79" s="167"/>
      <c r="V79" s="148"/>
      <c r="W79" s="148"/>
      <c r="X79" s="148"/>
      <c r="Y79" s="148"/>
      <c r="Z79" s="149"/>
      <c r="AB79" s="166"/>
      <c r="AH79" s="167"/>
      <c r="AP79" s="166"/>
      <c r="AV79" s="167"/>
      <c r="BD79" s="166"/>
      <c r="BJ79" s="167"/>
      <c r="BR79" s="141"/>
      <c r="BX79" s="701"/>
    </row>
    <row r="80" spans="1:81" s="197" customFormat="1" ht="54.75" customHeight="1">
      <c r="A80" s="681"/>
      <c r="B80" s="143"/>
      <c r="C80" s="748"/>
      <c r="D80" s="724"/>
      <c r="E80" s="725"/>
      <c r="F80" s="726"/>
      <c r="G80" s="165"/>
      <c r="H80" s="229"/>
      <c r="I80" s="229"/>
      <c r="J80" s="229"/>
      <c r="K80" s="229"/>
      <c r="L80" s="230"/>
      <c r="M80" s="193"/>
      <c r="N80" s="194"/>
      <c r="O80" s="229"/>
      <c r="P80" s="229"/>
      <c r="Q80" s="229"/>
      <c r="R80" s="229"/>
      <c r="S80" s="230"/>
      <c r="T80" s="195"/>
      <c r="U80" s="193"/>
      <c r="V80" s="229"/>
      <c r="W80" s="229"/>
      <c r="X80" s="229"/>
      <c r="Y80" s="229"/>
      <c r="Z80" s="230"/>
      <c r="AA80" s="193"/>
      <c r="AB80" s="194"/>
      <c r="AC80" s="193"/>
      <c r="AD80" s="193"/>
      <c r="AE80" s="193"/>
      <c r="AF80" s="193"/>
      <c r="AG80" s="193"/>
      <c r="AH80" s="195"/>
      <c r="AI80" s="193"/>
      <c r="AJ80" s="193"/>
      <c r="AK80" s="193"/>
      <c r="AL80" s="193"/>
      <c r="AM80" s="193"/>
      <c r="AN80" s="193"/>
      <c r="AO80" s="193"/>
      <c r="AP80" s="194"/>
      <c r="AQ80" s="730" t="s">
        <v>251</v>
      </c>
      <c r="AR80" s="731"/>
      <c r="AS80" s="731"/>
      <c r="AT80" s="731"/>
      <c r="AU80" s="732"/>
      <c r="AV80" s="195"/>
      <c r="AW80" s="193"/>
      <c r="AX80" s="730" t="s">
        <v>252</v>
      </c>
      <c r="AY80" s="731"/>
      <c r="AZ80" s="731"/>
      <c r="BA80" s="731"/>
      <c r="BB80" s="732"/>
      <c r="BC80" s="193"/>
      <c r="BD80" s="194"/>
      <c r="BE80" s="733" t="s">
        <v>253</v>
      </c>
      <c r="BF80" s="734"/>
      <c r="BG80" s="734"/>
      <c r="BH80" s="734"/>
      <c r="BI80" s="735"/>
      <c r="BJ80" s="195"/>
      <c r="BK80" s="193"/>
      <c r="BQ80" s="193"/>
      <c r="BR80" s="196"/>
      <c r="BS80" s="719" t="s">
        <v>254</v>
      </c>
      <c r="BT80" s="720"/>
      <c r="BU80" s="720"/>
      <c r="BV80" s="720"/>
      <c r="BW80" s="720"/>
      <c r="BX80" s="701"/>
      <c r="BZ80" s="198"/>
      <c r="CC80" s="686">
        <v>36</v>
      </c>
    </row>
    <row r="81" spans="1:81" ht="18" customHeight="1" thickBot="1">
      <c r="A81" s="681"/>
      <c r="B81" s="143"/>
      <c r="C81" s="748"/>
      <c r="D81" s="724"/>
      <c r="E81" s="725"/>
      <c r="F81" s="726"/>
      <c r="G81" s="165"/>
      <c r="H81" s="148"/>
      <c r="I81" s="148"/>
      <c r="J81" s="148"/>
      <c r="K81" s="148"/>
      <c r="L81" s="149"/>
      <c r="N81" s="166"/>
      <c r="O81" s="148"/>
      <c r="P81" s="148"/>
      <c r="Q81" s="148"/>
      <c r="R81" s="148"/>
      <c r="S81" s="149"/>
      <c r="T81" s="167"/>
      <c r="V81" s="148"/>
      <c r="W81" s="148"/>
      <c r="X81" s="148"/>
      <c r="Y81" s="148"/>
      <c r="Z81" s="149"/>
      <c r="AB81" s="166"/>
      <c r="AH81" s="167"/>
      <c r="AP81" s="166"/>
      <c r="AQ81" s="190" t="s">
        <v>209</v>
      </c>
      <c r="AR81" s="191">
        <v>3</v>
      </c>
      <c r="AS81" s="191">
        <v>1</v>
      </c>
      <c r="AT81" s="191">
        <v>4</v>
      </c>
      <c r="AU81" s="192">
        <v>3</v>
      </c>
      <c r="AV81" s="167"/>
      <c r="AX81" s="190" t="s">
        <v>209</v>
      </c>
      <c r="AY81" s="191">
        <v>3</v>
      </c>
      <c r="AZ81" s="191">
        <v>1</v>
      </c>
      <c r="BA81" s="191">
        <v>4</v>
      </c>
      <c r="BB81" s="192">
        <v>3</v>
      </c>
      <c r="BD81" s="166"/>
      <c r="BE81" s="234" t="s">
        <v>209</v>
      </c>
      <c r="BF81" s="235">
        <v>2</v>
      </c>
      <c r="BG81" s="235">
        <v>1</v>
      </c>
      <c r="BH81" s="235">
        <v>3</v>
      </c>
      <c r="BI81" s="236">
        <v>2</v>
      </c>
      <c r="BJ81" s="167"/>
      <c r="BR81" s="141"/>
      <c r="BS81" s="259" t="s">
        <v>168</v>
      </c>
      <c r="BT81" s="260">
        <v>8</v>
      </c>
      <c r="BU81" s="260">
        <v>3</v>
      </c>
      <c r="BV81" s="260">
        <f>AT81+BH81+BA81</f>
        <v>11</v>
      </c>
      <c r="BW81" s="261">
        <f>AU81+BI81+BB81</f>
        <v>8</v>
      </c>
      <c r="BX81" s="701"/>
      <c r="CC81" s="686"/>
    </row>
    <row r="82" spans="1:81" ht="57" customHeight="1" thickBot="1">
      <c r="A82" s="681"/>
      <c r="B82" s="143"/>
      <c r="C82" s="748"/>
      <c r="D82" s="727"/>
      <c r="E82" s="728"/>
      <c r="F82" s="729"/>
      <c r="G82" s="248"/>
      <c r="H82" s="249"/>
      <c r="I82" s="249"/>
      <c r="J82" s="249"/>
      <c r="K82" s="249"/>
      <c r="L82" s="250"/>
      <c r="M82" s="251"/>
      <c r="N82" s="252"/>
      <c r="O82" s="249"/>
      <c r="P82" s="249"/>
      <c r="Q82" s="249"/>
      <c r="R82" s="249"/>
      <c r="S82" s="250"/>
      <c r="T82" s="253"/>
      <c r="U82" s="251"/>
      <c r="V82" s="249"/>
      <c r="W82" s="249"/>
      <c r="X82" s="249"/>
      <c r="Y82" s="249"/>
      <c r="Z82" s="250"/>
      <c r="AA82" s="251"/>
      <c r="AB82" s="252"/>
      <c r="AC82" s="251"/>
      <c r="AD82" s="251"/>
      <c r="AE82" s="251"/>
      <c r="AF82" s="251"/>
      <c r="AG82" s="251"/>
      <c r="AH82" s="253"/>
      <c r="AI82" s="251"/>
      <c r="AJ82" s="251"/>
      <c r="AK82" s="251"/>
      <c r="AL82" s="251"/>
      <c r="AM82" s="251"/>
      <c r="AN82" s="251"/>
      <c r="AO82" s="251"/>
      <c r="AP82" s="252"/>
      <c r="AQ82" s="251"/>
      <c r="AR82" s="251"/>
      <c r="AS82" s="251"/>
      <c r="AT82" s="251"/>
      <c r="AU82" s="251"/>
      <c r="AV82" s="253"/>
      <c r="AW82" s="251"/>
      <c r="AX82" s="251"/>
      <c r="AY82" s="251"/>
      <c r="AZ82" s="251"/>
      <c r="BA82" s="251"/>
      <c r="BB82" s="251"/>
      <c r="BC82" s="251"/>
      <c r="BD82" s="252"/>
      <c r="BE82" s="251"/>
      <c r="BF82" s="251"/>
      <c r="BG82" s="251"/>
      <c r="BH82" s="251"/>
      <c r="BI82" s="251"/>
      <c r="BJ82" s="253"/>
      <c r="BK82" s="251"/>
      <c r="BL82" s="251"/>
      <c r="BM82" s="251"/>
      <c r="BN82" s="251"/>
      <c r="BO82" s="251"/>
      <c r="BP82" s="251"/>
      <c r="BQ82" s="251"/>
      <c r="BR82" s="141"/>
      <c r="BX82" s="701"/>
      <c r="CC82" s="686"/>
    </row>
    <row r="83" spans="1:81" ht="12.75" customHeight="1">
      <c r="A83" s="681"/>
      <c r="B83" s="143"/>
      <c r="C83" s="748"/>
      <c r="D83" s="687" t="s">
        <v>255</v>
      </c>
      <c r="E83" s="688"/>
      <c r="F83" s="689"/>
      <c r="G83" s="165"/>
      <c r="H83" s="148"/>
      <c r="I83" s="148"/>
      <c r="J83" s="148"/>
      <c r="K83" s="148"/>
      <c r="L83" s="149"/>
      <c r="N83" s="166"/>
      <c r="O83" s="148"/>
      <c r="P83" s="148"/>
      <c r="Q83" s="148"/>
      <c r="R83" s="148"/>
      <c r="S83" s="149"/>
      <c r="T83" s="167"/>
      <c r="V83" s="148"/>
      <c r="W83" s="148"/>
      <c r="X83" s="148"/>
      <c r="Y83" s="148"/>
      <c r="Z83" s="149"/>
      <c r="AB83" s="166"/>
      <c r="AH83" s="167"/>
      <c r="AP83" s="166"/>
      <c r="AV83" s="167"/>
      <c r="AX83" s="148"/>
      <c r="AY83" s="148"/>
      <c r="AZ83" s="148"/>
      <c r="BA83" s="148"/>
      <c r="BB83" s="149"/>
      <c r="BD83" s="166"/>
      <c r="BJ83" s="167"/>
      <c r="BR83" s="141"/>
      <c r="BX83" s="701"/>
      <c r="CC83" s="686"/>
    </row>
    <row r="84" spans="1:81" ht="45" customHeight="1">
      <c r="A84" s="681"/>
      <c r="B84" s="143"/>
      <c r="C84" s="748"/>
      <c r="D84" s="690"/>
      <c r="E84" s="691"/>
      <c r="F84" s="692"/>
      <c r="G84" s="165"/>
      <c r="H84" s="148"/>
      <c r="I84" s="148"/>
      <c r="J84" s="148"/>
      <c r="K84" s="148"/>
      <c r="L84" s="149"/>
      <c r="N84" s="166"/>
      <c r="O84" s="148"/>
      <c r="P84" s="148"/>
      <c r="Q84" s="148"/>
      <c r="R84" s="148"/>
      <c r="S84" s="149"/>
      <c r="T84" s="167"/>
      <c r="V84" s="148"/>
      <c r="W84" s="148"/>
      <c r="X84" s="148"/>
      <c r="Y84" s="148"/>
      <c r="Z84" s="149"/>
      <c r="AB84" s="166"/>
      <c r="AH84" s="167"/>
      <c r="AP84" s="166"/>
      <c r="AV84" s="167"/>
      <c r="AX84" s="148"/>
      <c r="AY84" s="148"/>
      <c r="AZ84" s="148"/>
      <c r="BA84" s="148"/>
      <c r="BB84" s="149"/>
      <c r="BD84" s="166"/>
      <c r="BJ84" s="167"/>
      <c r="BL84" s="696" t="s">
        <v>256</v>
      </c>
      <c r="BM84" s="697"/>
      <c r="BN84" s="697"/>
      <c r="BO84" s="697"/>
      <c r="BP84" s="698"/>
      <c r="BR84" s="141"/>
      <c r="BS84" s="657" t="s">
        <v>257</v>
      </c>
      <c r="BT84" s="658"/>
      <c r="BU84" s="658"/>
      <c r="BV84" s="658"/>
      <c r="BW84" s="658"/>
      <c r="BX84" s="701"/>
      <c r="CC84" s="686"/>
    </row>
    <row r="85" spans="1:81" ht="18" customHeight="1">
      <c r="A85" s="681"/>
      <c r="B85" s="143"/>
      <c r="C85" s="748"/>
      <c r="D85" s="690"/>
      <c r="E85" s="691"/>
      <c r="F85" s="692"/>
      <c r="G85" s="165"/>
      <c r="H85" s="148"/>
      <c r="I85" s="148"/>
      <c r="J85" s="148"/>
      <c r="K85" s="148"/>
      <c r="L85" s="149"/>
      <c r="N85" s="166"/>
      <c r="O85" s="148"/>
      <c r="P85" s="148"/>
      <c r="Q85" s="148"/>
      <c r="R85" s="148"/>
      <c r="S85" s="149"/>
      <c r="T85" s="167"/>
      <c r="V85" s="148"/>
      <c r="W85" s="148"/>
      <c r="X85" s="148"/>
      <c r="Y85" s="148"/>
      <c r="Z85" s="149"/>
      <c r="AB85" s="166"/>
      <c r="AH85" s="167"/>
      <c r="AP85" s="166"/>
      <c r="AV85" s="167"/>
      <c r="AX85" s="148"/>
      <c r="AY85" s="148"/>
      <c r="AZ85" s="148"/>
      <c r="BA85" s="148"/>
      <c r="BB85" s="149"/>
      <c r="BD85" s="166"/>
      <c r="BJ85" s="167"/>
      <c r="BL85" s="190" t="s">
        <v>258</v>
      </c>
      <c r="BM85" s="191">
        <v>6</v>
      </c>
      <c r="BN85" s="191">
        <v>30</v>
      </c>
      <c r="BO85" s="191">
        <v>36</v>
      </c>
      <c r="BP85" s="192">
        <v>15</v>
      </c>
      <c r="BR85" s="141"/>
      <c r="BS85" s="262" t="s">
        <v>168</v>
      </c>
      <c r="BT85" s="263">
        <f>BM85</f>
        <v>6</v>
      </c>
      <c r="BU85" s="263">
        <f>BN85</f>
        <v>30</v>
      </c>
      <c r="BV85" s="263">
        <f>BO85</f>
        <v>36</v>
      </c>
      <c r="BW85" s="264">
        <f>BP85</f>
        <v>15</v>
      </c>
      <c r="BX85" s="701"/>
      <c r="CC85" s="686"/>
    </row>
    <row r="86" spans="1:81" ht="15" customHeight="1" thickBot="1">
      <c r="A86" s="681"/>
      <c r="B86" s="143"/>
      <c r="C86" s="748"/>
      <c r="D86" s="693"/>
      <c r="E86" s="694"/>
      <c r="F86" s="695"/>
      <c r="G86" s="248"/>
      <c r="H86" s="249"/>
      <c r="I86" s="249"/>
      <c r="J86" s="249"/>
      <c r="K86" s="249"/>
      <c r="L86" s="250"/>
      <c r="M86" s="251"/>
      <c r="N86" s="252"/>
      <c r="O86" s="249"/>
      <c r="P86" s="249"/>
      <c r="Q86" s="249"/>
      <c r="R86" s="249"/>
      <c r="S86" s="250"/>
      <c r="T86" s="253"/>
      <c r="U86" s="251"/>
      <c r="V86" s="249"/>
      <c r="W86" s="249"/>
      <c r="X86" s="249"/>
      <c r="Y86" s="249"/>
      <c r="Z86" s="250"/>
      <c r="AA86" s="251"/>
      <c r="AB86" s="252"/>
      <c r="AC86" s="251"/>
      <c r="AD86" s="251"/>
      <c r="AE86" s="251"/>
      <c r="AF86" s="251"/>
      <c r="AG86" s="251"/>
      <c r="AH86" s="253"/>
      <c r="AI86" s="251"/>
      <c r="AJ86" s="251"/>
      <c r="AK86" s="251"/>
      <c r="AL86" s="251"/>
      <c r="AM86" s="251"/>
      <c r="AN86" s="251"/>
      <c r="AO86" s="251"/>
      <c r="AP86" s="252"/>
      <c r="AQ86" s="251"/>
      <c r="AR86" s="251"/>
      <c r="AS86" s="251"/>
      <c r="AT86" s="251"/>
      <c r="AU86" s="251"/>
      <c r="AV86" s="253"/>
      <c r="AW86" s="251"/>
      <c r="AX86" s="251"/>
      <c r="AY86" s="251"/>
      <c r="AZ86" s="251"/>
      <c r="BA86" s="251"/>
      <c r="BB86" s="251"/>
      <c r="BC86" s="251"/>
      <c r="BD86" s="252"/>
      <c r="BE86" s="251"/>
      <c r="BF86" s="251"/>
      <c r="BG86" s="251"/>
      <c r="BH86" s="251"/>
      <c r="BI86" s="251"/>
      <c r="BJ86" s="253"/>
      <c r="BK86" s="251"/>
      <c r="BL86" s="251"/>
      <c r="BM86" s="251"/>
      <c r="BN86" s="251"/>
      <c r="BO86" s="251"/>
      <c r="BP86" s="251"/>
      <c r="BQ86" s="251"/>
      <c r="BR86" s="186"/>
      <c r="BS86" s="187"/>
      <c r="BT86" s="187"/>
      <c r="BU86" s="187"/>
      <c r="BV86" s="187"/>
      <c r="BW86" s="187"/>
      <c r="BX86" s="701"/>
      <c r="CC86" s="686"/>
    </row>
    <row r="87" spans="1:81" ht="10" customHeight="1">
      <c r="A87" s="681"/>
      <c r="B87" s="143"/>
      <c r="C87" s="699" t="s">
        <v>175</v>
      </c>
      <c r="D87" s="659" t="s">
        <v>259</v>
      </c>
      <c r="E87" s="660"/>
      <c r="F87" s="661"/>
      <c r="G87" s="165"/>
      <c r="H87" s="148"/>
      <c r="I87" s="148"/>
      <c r="J87" s="148"/>
      <c r="K87" s="148"/>
      <c r="L87" s="149"/>
      <c r="N87" s="166"/>
      <c r="O87" s="148"/>
      <c r="P87" s="148"/>
      <c r="Q87" s="148"/>
      <c r="R87" s="148"/>
      <c r="S87" s="149"/>
      <c r="T87" s="167"/>
      <c r="V87" s="148"/>
      <c r="W87" s="148"/>
      <c r="X87" s="148"/>
      <c r="Y87" s="148"/>
      <c r="Z87" s="149"/>
      <c r="AB87" s="166"/>
      <c r="AH87" s="167"/>
      <c r="AP87" s="166"/>
      <c r="AV87" s="167"/>
      <c r="BD87" s="166"/>
      <c r="BJ87" s="167"/>
      <c r="BR87" s="246"/>
      <c r="BS87" s="247"/>
      <c r="BT87" s="247"/>
      <c r="BU87" s="247"/>
      <c r="BV87" s="247"/>
      <c r="BW87" s="247"/>
      <c r="BX87" s="701">
        <v>0.08</v>
      </c>
      <c r="CC87" s="686"/>
    </row>
    <row r="88" spans="1:81" s="197" customFormat="1" ht="36.75" customHeight="1">
      <c r="A88" s="681"/>
      <c r="B88" s="143"/>
      <c r="C88" s="684"/>
      <c r="D88" s="662"/>
      <c r="E88" s="663"/>
      <c r="F88" s="664"/>
      <c r="G88" s="165"/>
      <c r="H88" s="702" t="s">
        <v>260</v>
      </c>
      <c r="I88" s="703"/>
      <c r="J88" s="703"/>
      <c r="K88" s="703"/>
      <c r="L88" s="704"/>
      <c r="M88" s="193"/>
      <c r="N88" s="194"/>
      <c r="O88" s="702" t="s">
        <v>261</v>
      </c>
      <c r="P88" s="703"/>
      <c r="Q88" s="703"/>
      <c r="R88" s="703"/>
      <c r="S88" s="704"/>
      <c r="T88" s="195"/>
      <c r="U88" s="193"/>
      <c r="V88" s="702" t="s">
        <v>262</v>
      </c>
      <c r="W88" s="703"/>
      <c r="X88" s="703"/>
      <c r="Y88" s="703"/>
      <c r="Z88" s="704"/>
      <c r="AA88" s="193"/>
      <c r="AB88" s="194"/>
      <c r="AC88" s="675" t="s">
        <v>263</v>
      </c>
      <c r="AD88" s="676"/>
      <c r="AE88" s="676"/>
      <c r="AF88" s="676"/>
      <c r="AG88" s="677"/>
      <c r="AH88" s="195"/>
      <c r="AI88" s="193"/>
      <c r="AJ88" s="674"/>
      <c r="AK88" s="674"/>
      <c r="AL88" s="674"/>
      <c r="AM88" s="674"/>
      <c r="AN88" s="674"/>
      <c r="AO88" s="193"/>
      <c r="AP88" s="194"/>
      <c r="AQ88" s="674"/>
      <c r="AR88" s="674"/>
      <c r="AS88" s="674"/>
      <c r="AT88" s="674"/>
      <c r="AU88" s="674"/>
      <c r="AV88" s="195"/>
      <c r="AW88" s="193"/>
      <c r="AX88" s="674"/>
      <c r="AY88" s="674"/>
      <c r="AZ88" s="674"/>
      <c r="BA88" s="674"/>
      <c r="BB88" s="674"/>
      <c r="BC88" s="193"/>
      <c r="BD88" s="194"/>
      <c r="BE88" s="675" t="s">
        <v>264</v>
      </c>
      <c r="BF88" s="676"/>
      <c r="BG88" s="676"/>
      <c r="BH88" s="676"/>
      <c r="BI88" s="677"/>
      <c r="BJ88" s="195"/>
      <c r="BK88" s="193"/>
      <c r="BL88" s="142"/>
      <c r="BM88" s="142"/>
      <c r="BN88" s="142"/>
      <c r="BO88" s="142"/>
      <c r="BP88" s="142"/>
      <c r="BQ88" s="142"/>
      <c r="BR88" s="196"/>
      <c r="BS88" s="657" t="s">
        <v>265</v>
      </c>
      <c r="BT88" s="658"/>
      <c r="BU88" s="658"/>
      <c r="BV88" s="658"/>
      <c r="BW88" s="658"/>
      <c r="BX88" s="701"/>
      <c r="BZ88" s="198"/>
      <c r="CC88" s="686"/>
    </row>
    <row r="89" spans="1:81" ht="18" customHeight="1">
      <c r="A89" s="681"/>
      <c r="B89" s="143"/>
      <c r="C89" s="684"/>
      <c r="D89" s="662"/>
      <c r="E89" s="663"/>
      <c r="F89" s="664"/>
      <c r="G89" s="165"/>
      <c r="H89" s="144" t="s">
        <v>209</v>
      </c>
      <c r="I89" s="145">
        <v>1</v>
      </c>
      <c r="J89" s="145">
        <v>1</v>
      </c>
      <c r="K89" s="145">
        <v>2</v>
      </c>
      <c r="L89" s="146">
        <v>1</v>
      </c>
      <c r="N89" s="166"/>
      <c r="O89" s="144" t="s">
        <v>209</v>
      </c>
      <c r="P89" s="145">
        <v>1</v>
      </c>
      <c r="Q89" s="145">
        <v>1</v>
      </c>
      <c r="R89" s="145">
        <v>2</v>
      </c>
      <c r="S89" s="146">
        <v>1</v>
      </c>
      <c r="T89" s="167"/>
      <c r="V89" s="144" t="s">
        <v>209</v>
      </c>
      <c r="W89" s="145">
        <v>1</v>
      </c>
      <c r="X89" s="145">
        <v>1</v>
      </c>
      <c r="Y89" s="145">
        <v>2</v>
      </c>
      <c r="Z89" s="146">
        <v>1</v>
      </c>
      <c r="AB89" s="166"/>
      <c r="AC89" s="190" t="s">
        <v>209</v>
      </c>
      <c r="AD89" s="191">
        <v>1</v>
      </c>
      <c r="AE89" s="191">
        <v>1</v>
      </c>
      <c r="AF89" s="191">
        <v>2</v>
      </c>
      <c r="AG89" s="192">
        <v>1</v>
      </c>
      <c r="AH89" s="167"/>
      <c r="AJ89" s="147"/>
      <c r="AK89" s="148"/>
      <c r="AL89" s="148"/>
      <c r="AM89" s="148"/>
      <c r="AN89" s="149"/>
      <c r="AP89" s="166"/>
      <c r="AQ89" s="147"/>
      <c r="AR89" s="148"/>
      <c r="AS89" s="148"/>
      <c r="AT89" s="148"/>
      <c r="AU89" s="149"/>
      <c r="AV89" s="167"/>
      <c r="AX89" s="147"/>
      <c r="AY89" s="148"/>
      <c r="AZ89" s="148"/>
      <c r="BA89" s="148"/>
      <c r="BB89" s="149"/>
      <c r="BD89" s="166"/>
      <c r="BE89" s="190" t="s">
        <v>180</v>
      </c>
      <c r="BF89" s="191">
        <v>2</v>
      </c>
      <c r="BG89" s="191">
        <v>0</v>
      </c>
      <c r="BH89" s="191">
        <v>4</v>
      </c>
      <c r="BI89" s="192">
        <f>(SUM(BF89*3)+(BG89))*16/48</f>
        <v>2</v>
      </c>
      <c r="BJ89" s="167"/>
      <c r="BR89" s="141"/>
      <c r="BS89" s="262" t="s">
        <v>168</v>
      </c>
      <c r="BT89" s="263">
        <v>6</v>
      </c>
      <c r="BU89" s="263">
        <v>4</v>
      </c>
      <c r="BV89" s="263">
        <v>12</v>
      </c>
      <c r="BW89" s="264">
        <v>6</v>
      </c>
      <c r="BX89" s="701"/>
      <c r="CC89" s="686"/>
    </row>
    <row r="90" spans="1:81" ht="18" customHeight="1" thickBot="1">
      <c r="A90" s="681"/>
      <c r="B90" s="143"/>
      <c r="C90" s="684"/>
      <c r="D90" s="665"/>
      <c r="E90" s="666"/>
      <c r="F90" s="667"/>
      <c r="G90" s="165"/>
      <c r="H90" s="147"/>
      <c r="I90" s="148"/>
      <c r="J90" s="148"/>
      <c r="K90" s="148"/>
      <c r="L90" s="149"/>
      <c r="N90" s="166"/>
      <c r="O90" s="147"/>
      <c r="P90" s="148"/>
      <c r="Q90" s="148"/>
      <c r="R90" s="148"/>
      <c r="S90" s="149"/>
      <c r="T90" s="167"/>
      <c r="V90" s="147"/>
      <c r="W90" s="148"/>
      <c r="X90" s="148"/>
      <c r="Y90" s="148"/>
      <c r="Z90" s="149"/>
      <c r="AB90" s="166"/>
      <c r="AC90" s="147"/>
      <c r="AD90" s="148"/>
      <c r="AE90" s="148"/>
      <c r="AF90" s="148"/>
      <c r="AG90" s="149"/>
      <c r="AH90" s="167"/>
      <c r="AJ90" s="147"/>
      <c r="AK90" s="148"/>
      <c r="AL90" s="148"/>
      <c r="AM90" s="148"/>
      <c r="AN90" s="149"/>
      <c r="AP90" s="166"/>
      <c r="AQ90" s="147"/>
      <c r="AR90" s="148"/>
      <c r="AS90" s="148"/>
      <c r="AT90" s="148"/>
      <c r="AU90" s="149"/>
      <c r="AV90" s="167"/>
      <c r="AX90" s="147"/>
      <c r="AY90" s="148"/>
      <c r="AZ90" s="148"/>
      <c r="BA90" s="148"/>
      <c r="BB90" s="149"/>
      <c r="BD90" s="166"/>
      <c r="BE90" s="147"/>
      <c r="BF90" s="148"/>
      <c r="BG90" s="148"/>
      <c r="BH90" s="148"/>
      <c r="BI90" s="149"/>
      <c r="BJ90" s="167"/>
      <c r="BL90" s="147"/>
      <c r="BM90" s="148"/>
      <c r="BN90" s="148"/>
      <c r="BO90" s="148"/>
      <c r="BP90" s="149"/>
      <c r="BR90" s="141"/>
      <c r="BX90" s="701"/>
      <c r="CC90" s="686"/>
    </row>
    <row r="91" spans="1:81" ht="6.75" customHeight="1">
      <c r="A91" s="681"/>
      <c r="B91" s="143"/>
      <c r="C91" s="684"/>
      <c r="D91" s="659" t="s">
        <v>266</v>
      </c>
      <c r="E91" s="660"/>
      <c r="F91" s="705"/>
      <c r="G91" s="265"/>
      <c r="H91" s="266"/>
      <c r="I91" s="266"/>
      <c r="J91" s="266"/>
      <c r="K91" s="266"/>
      <c r="L91" s="267"/>
      <c r="M91" s="172"/>
      <c r="N91" s="173"/>
      <c r="O91" s="266"/>
      <c r="P91" s="266"/>
      <c r="Q91" s="266"/>
      <c r="R91" s="266"/>
      <c r="S91" s="267"/>
      <c r="T91" s="174"/>
      <c r="U91" s="172"/>
      <c r="V91" s="266"/>
      <c r="W91" s="266"/>
      <c r="X91" s="266"/>
      <c r="Y91" s="266"/>
      <c r="Z91" s="267"/>
      <c r="AA91" s="172"/>
      <c r="AB91" s="173"/>
      <c r="AC91" s="266"/>
      <c r="AD91" s="266"/>
      <c r="AE91" s="266"/>
      <c r="AF91" s="266"/>
      <c r="AG91" s="267"/>
      <c r="AH91" s="174"/>
      <c r="AI91" s="172"/>
      <c r="AJ91" s="266"/>
      <c r="AK91" s="266"/>
      <c r="AL91" s="266"/>
      <c r="AM91" s="266"/>
      <c r="AN91" s="267"/>
      <c r="AO91" s="172"/>
      <c r="AP91" s="173"/>
      <c r="AQ91" s="266"/>
      <c r="AR91" s="266"/>
      <c r="AS91" s="266"/>
      <c r="AT91" s="266"/>
      <c r="AU91" s="267"/>
      <c r="AV91" s="174"/>
      <c r="AW91" s="172"/>
      <c r="AX91" s="266"/>
      <c r="AY91" s="266"/>
      <c r="AZ91" s="266"/>
      <c r="BA91" s="266"/>
      <c r="BB91" s="267"/>
      <c r="BC91" s="172"/>
      <c r="BD91" s="173"/>
      <c r="BE91" s="266"/>
      <c r="BF91" s="266"/>
      <c r="BG91" s="266"/>
      <c r="BH91" s="266"/>
      <c r="BI91" s="267"/>
      <c r="BJ91" s="174"/>
      <c r="BK91" s="172"/>
      <c r="BL91" s="266"/>
      <c r="BM91" s="266"/>
      <c r="BN91" s="266"/>
      <c r="BO91" s="266"/>
      <c r="BP91" s="267"/>
      <c r="BQ91" s="172"/>
      <c r="BR91" s="141"/>
      <c r="BX91" s="701"/>
      <c r="CC91" s="686"/>
    </row>
    <row r="92" spans="1:81" ht="30.75" customHeight="1">
      <c r="A92" s="681"/>
      <c r="B92" s="143"/>
      <c r="C92" s="684"/>
      <c r="D92" s="662"/>
      <c r="E92" s="663"/>
      <c r="F92" s="706"/>
      <c r="G92" s="268"/>
      <c r="H92" s="708" t="s">
        <v>267</v>
      </c>
      <c r="I92" s="709"/>
      <c r="J92" s="709"/>
      <c r="K92" s="709"/>
      <c r="L92" s="710"/>
      <c r="N92" s="166"/>
      <c r="O92" s="148"/>
      <c r="P92" s="148"/>
      <c r="Q92" s="148"/>
      <c r="R92" s="148"/>
      <c r="S92" s="149"/>
      <c r="T92" s="167"/>
      <c r="V92" s="674"/>
      <c r="W92" s="674"/>
      <c r="X92" s="674"/>
      <c r="Y92" s="674"/>
      <c r="Z92" s="674"/>
      <c r="AB92" s="166"/>
      <c r="AC92" s="148"/>
      <c r="AD92" s="148"/>
      <c r="AE92" s="148"/>
      <c r="AF92" s="148"/>
      <c r="AG92" s="149"/>
      <c r="AH92" s="167"/>
      <c r="AJ92" s="148"/>
      <c r="AK92" s="148"/>
      <c r="AL92" s="148"/>
      <c r="AM92" s="148"/>
      <c r="AN92" s="149"/>
      <c r="AP92" s="166"/>
      <c r="AQ92" s="674"/>
      <c r="AR92" s="674"/>
      <c r="AS92" s="674"/>
      <c r="AT92" s="674"/>
      <c r="AU92" s="674"/>
      <c r="AV92" s="167"/>
      <c r="BD92" s="166"/>
      <c r="BJ92" s="195"/>
      <c r="BK92" s="193"/>
      <c r="BR92" s="141"/>
      <c r="BS92" s="711" t="s">
        <v>266</v>
      </c>
      <c r="BT92" s="712"/>
      <c r="BU92" s="712"/>
      <c r="BV92" s="712"/>
      <c r="BW92" s="712"/>
      <c r="BX92" s="701"/>
      <c r="CC92" s="686"/>
    </row>
    <row r="93" spans="1:81" ht="18" customHeight="1">
      <c r="A93" s="681"/>
      <c r="B93" s="143"/>
      <c r="C93" s="684"/>
      <c r="D93" s="662"/>
      <c r="E93" s="663"/>
      <c r="F93" s="706"/>
      <c r="G93" s="268"/>
      <c r="H93" s="144" t="s">
        <v>180</v>
      </c>
      <c r="I93" s="145">
        <v>1</v>
      </c>
      <c r="J93" s="145">
        <v>0</v>
      </c>
      <c r="K93" s="145">
        <v>2</v>
      </c>
      <c r="L93" s="146">
        <v>1</v>
      </c>
      <c r="N93" s="166"/>
      <c r="O93" s="148"/>
      <c r="P93" s="148"/>
      <c r="Q93" s="148"/>
      <c r="R93" s="148"/>
      <c r="S93" s="149"/>
      <c r="T93" s="167"/>
      <c r="V93" s="147"/>
      <c r="W93" s="148"/>
      <c r="X93" s="148"/>
      <c r="Y93" s="148"/>
      <c r="Z93" s="149"/>
      <c r="AB93" s="166"/>
      <c r="AC93" s="148"/>
      <c r="AD93" s="148"/>
      <c r="AE93" s="148"/>
      <c r="AF93" s="148"/>
      <c r="AG93" s="149"/>
      <c r="AH93" s="167"/>
      <c r="AJ93" s="148"/>
      <c r="AK93" s="148"/>
      <c r="AL93" s="148"/>
      <c r="AM93" s="148"/>
      <c r="AN93" s="149"/>
      <c r="AP93" s="166"/>
      <c r="AQ93" s="147"/>
      <c r="AR93" s="148"/>
      <c r="AS93" s="148"/>
      <c r="AT93" s="148"/>
      <c r="AU93" s="149"/>
      <c r="AV93" s="167"/>
      <c r="BD93" s="166"/>
      <c r="BJ93" s="167"/>
      <c r="BR93" s="141"/>
      <c r="BS93" s="269" t="s">
        <v>168</v>
      </c>
      <c r="BT93" s="270">
        <f>I93+W93</f>
        <v>1</v>
      </c>
      <c r="BU93" s="270">
        <f>J93+X93</f>
        <v>0</v>
      </c>
      <c r="BV93" s="270">
        <f>K93+Y93</f>
        <v>2</v>
      </c>
      <c r="BW93" s="271">
        <v>2</v>
      </c>
      <c r="BX93" s="701"/>
      <c r="CC93" s="686"/>
    </row>
    <row r="94" spans="1:81" ht="18" customHeight="1">
      <c r="A94" s="681"/>
      <c r="B94" s="143"/>
      <c r="C94" s="684"/>
      <c r="D94" s="662"/>
      <c r="E94" s="663"/>
      <c r="F94" s="706"/>
      <c r="G94" s="268"/>
      <c r="H94" s="147"/>
      <c r="I94" s="148"/>
      <c r="J94" s="148"/>
      <c r="K94" s="148"/>
      <c r="L94" s="149"/>
      <c r="N94" s="166"/>
      <c r="O94" s="148"/>
      <c r="P94" s="148"/>
      <c r="Q94" s="148"/>
      <c r="R94" s="148"/>
      <c r="S94" s="149"/>
      <c r="T94" s="167"/>
      <c r="V94" s="147"/>
      <c r="W94" s="148"/>
      <c r="X94" s="148"/>
      <c r="Y94" s="148"/>
      <c r="Z94" s="149"/>
      <c r="AB94" s="166"/>
      <c r="AC94" s="148"/>
      <c r="AD94" s="148"/>
      <c r="AE94" s="148"/>
      <c r="AF94" s="148"/>
      <c r="AG94" s="149"/>
      <c r="AH94" s="167"/>
      <c r="AJ94" s="148"/>
      <c r="AK94" s="148"/>
      <c r="AL94" s="148"/>
      <c r="AM94" s="148"/>
      <c r="AN94" s="149"/>
      <c r="AP94" s="166"/>
      <c r="AQ94" s="147"/>
      <c r="AR94" s="148"/>
      <c r="AS94" s="148"/>
      <c r="AT94" s="148"/>
      <c r="AU94" s="149"/>
      <c r="AV94" s="167"/>
      <c r="BD94" s="166"/>
      <c r="BJ94" s="167"/>
      <c r="BR94" s="141"/>
      <c r="BS94" s="199"/>
      <c r="BT94" s="200"/>
      <c r="BU94" s="200"/>
      <c r="BV94" s="200"/>
      <c r="BW94" s="200"/>
      <c r="BX94" s="701"/>
      <c r="CC94" s="686"/>
    </row>
    <row r="95" spans="1:81" ht="18" customHeight="1">
      <c r="A95" s="681"/>
      <c r="B95" s="143"/>
      <c r="C95" s="684"/>
      <c r="D95" s="662"/>
      <c r="E95" s="663"/>
      <c r="F95" s="706"/>
      <c r="G95" s="268"/>
      <c r="H95" s="713" t="s">
        <v>268</v>
      </c>
      <c r="I95" s="714"/>
      <c r="J95" s="714"/>
      <c r="K95" s="714"/>
      <c r="L95" s="715"/>
      <c r="N95" s="166"/>
      <c r="O95" s="148"/>
      <c r="P95" s="148"/>
      <c r="Q95" s="148"/>
      <c r="R95" s="148"/>
      <c r="S95" s="149"/>
      <c r="T95" s="167"/>
      <c r="V95" s="147"/>
      <c r="W95" s="148"/>
      <c r="X95" s="148"/>
      <c r="Y95" s="148"/>
      <c r="Z95" s="149"/>
      <c r="AB95" s="166"/>
      <c r="AC95" s="148"/>
      <c r="AD95" s="148"/>
      <c r="AE95" s="148"/>
      <c r="AF95" s="148"/>
      <c r="AG95" s="149"/>
      <c r="AH95" s="167"/>
      <c r="AJ95" s="148"/>
      <c r="AK95" s="148"/>
      <c r="AL95" s="148"/>
      <c r="AM95" s="148"/>
      <c r="AN95" s="149"/>
      <c r="AP95" s="166"/>
      <c r="AQ95" s="147"/>
      <c r="AR95" s="148"/>
      <c r="AS95" s="148"/>
      <c r="AT95" s="148"/>
      <c r="AU95" s="149"/>
      <c r="AV95" s="167"/>
      <c r="BD95" s="166"/>
      <c r="BJ95" s="167"/>
      <c r="BR95" s="141"/>
      <c r="BS95" s="199"/>
      <c r="BT95" s="200"/>
      <c r="BU95" s="200"/>
      <c r="BV95" s="200"/>
      <c r="BW95" s="200"/>
      <c r="BX95" s="701"/>
      <c r="CC95" s="686"/>
    </row>
    <row r="96" spans="1:81" ht="18" customHeight="1">
      <c r="A96" s="681"/>
      <c r="B96" s="143"/>
      <c r="C96" s="684"/>
      <c r="D96" s="662"/>
      <c r="E96" s="663"/>
      <c r="F96" s="706"/>
      <c r="G96" s="268"/>
      <c r="H96" s="144" t="s">
        <v>180</v>
      </c>
      <c r="I96" s="145">
        <v>0</v>
      </c>
      <c r="J96" s="145">
        <v>3</v>
      </c>
      <c r="K96" s="145">
        <v>0</v>
      </c>
      <c r="L96" s="146">
        <v>1</v>
      </c>
      <c r="N96" s="166"/>
      <c r="O96" s="148"/>
      <c r="P96" s="148"/>
      <c r="Q96" s="148"/>
      <c r="R96" s="148"/>
      <c r="S96" s="149"/>
      <c r="T96" s="167"/>
      <c r="V96" s="147"/>
      <c r="W96" s="148"/>
      <c r="X96" s="148"/>
      <c r="Y96" s="148"/>
      <c r="Z96" s="149"/>
      <c r="AB96" s="166"/>
      <c r="AC96" s="148"/>
      <c r="AD96" s="148"/>
      <c r="AE96" s="148"/>
      <c r="AF96" s="148"/>
      <c r="AG96" s="149"/>
      <c r="AH96" s="167"/>
      <c r="AJ96" s="148"/>
      <c r="AK96" s="148"/>
      <c r="AL96" s="148"/>
      <c r="AM96" s="148"/>
      <c r="AN96" s="149"/>
      <c r="AP96" s="166"/>
      <c r="AQ96" s="147"/>
      <c r="AR96" s="148"/>
      <c r="AS96" s="148"/>
      <c r="AT96" s="148"/>
      <c r="AU96" s="149"/>
      <c r="AV96" s="167"/>
      <c r="BD96" s="166"/>
      <c r="BJ96" s="167"/>
      <c r="BR96" s="141"/>
      <c r="BS96" s="199"/>
      <c r="BT96" s="200"/>
      <c r="BU96" s="200"/>
      <c r="BV96" s="200"/>
      <c r="BW96" s="200"/>
      <c r="BX96" s="701"/>
      <c r="CC96" s="686"/>
    </row>
    <row r="97" spans="1:81" ht="18" customHeight="1">
      <c r="A97" s="681"/>
      <c r="B97" s="143"/>
      <c r="C97" s="684"/>
      <c r="D97" s="665"/>
      <c r="E97" s="666"/>
      <c r="F97" s="707"/>
      <c r="G97" s="268"/>
      <c r="H97" s="147"/>
      <c r="I97" s="148"/>
      <c r="J97" s="148"/>
      <c r="K97" s="148"/>
      <c r="L97" s="149"/>
      <c r="N97" s="166"/>
      <c r="O97" s="148"/>
      <c r="P97" s="148"/>
      <c r="Q97" s="148"/>
      <c r="R97" s="148"/>
      <c r="S97" s="149"/>
      <c r="T97" s="167"/>
      <c r="V97" s="147"/>
      <c r="W97" s="148"/>
      <c r="X97" s="148"/>
      <c r="Y97" s="148"/>
      <c r="Z97" s="149"/>
      <c r="AB97" s="166"/>
      <c r="AC97" s="148"/>
      <c r="AD97" s="148"/>
      <c r="AE97" s="148"/>
      <c r="AF97" s="148"/>
      <c r="AG97" s="149"/>
      <c r="AH97" s="167"/>
      <c r="AJ97" s="148"/>
      <c r="AK97" s="148"/>
      <c r="AL97" s="148"/>
      <c r="AM97" s="148"/>
      <c r="AN97" s="149"/>
      <c r="AP97" s="166"/>
      <c r="AQ97" s="147"/>
      <c r="AR97" s="148"/>
      <c r="AS97" s="148"/>
      <c r="AT97" s="148"/>
      <c r="AU97" s="149"/>
      <c r="AV97" s="167"/>
      <c r="BD97" s="166"/>
      <c r="BJ97" s="167"/>
      <c r="BR97" s="141"/>
      <c r="BS97" s="199"/>
      <c r="BT97" s="200"/>
      <c r="BU97" s="200"/>
      <c r="BV97" s="200"/>
      <c r="BW97" s="200"/>
      <c r="BX97" s="701"/>
      <c r="CC97" s="686"/>
    </row>
    <row r="98" spans="1:81" ht="31.5" customHeight="1">
      <c r="A98" s="681"/>
      <c r="B98" s="143"/>
      <c r="C98" s="684"/>
      <c r="D98" s="659" t="s">
        <v>269</v>
      </c>
      <c r="E98" s="660"/>
      <c r="F98" s="705"/>
      <c r="G98" s="272"/>
      <c r="H98" s="273"/>
      <c r="I98" s="273"/>
      <c r="J98" s="273"/>
      <c r="K98" s="273"/>
      <c r="L98" s="273"/>
      <c r="M98" s="274"/>
      <c r="N98" s="275"/>
      <c r="O98" s="716" t="s">
        <v>270</v>
      </c>
      <c r="P98" s="717"/>
      <c r="Q98" s="717"/>
      <c r="R98" s="717"/>
      <c r="S98" s="718"/>
      <c r="T98" s="274"/>
      <c r="V98" s="147"/>
      <c r="W98" s="148"/>
      <c r="X98" s="148"/>
      <c r="Y98" s="148"/>
      <c r="Z98" s="149"/>
      <c r="AB98" s="166"/>
      <c r="AC98" s="148"/>
      <c r="AD98" s="148"/>
      <c r="AE98" s="148"/>
      <c r="AF98" s="148"/>
      <c r="AG98" s="149"/>
      <c r="AH98" s="167"/>
      <c r="AJ98" s="148"/>
      <c r="AK98" s="148"/>
      <c r="AL98" s="148"/>
      <c r="AM98" s="148"/>
      <c r="AN98" s="149"/>
      <c r="AP98" s="166"/>
      <c r="AQ98" s="147"/>
      <c r="AR98" s="148"/>
      <c r="AS98" s="148"/>
      <c r="AT98" s="148"/>
      <c r="AU98" s="149"/>
      <c r="AV98" s="167"/>
      <c r="BD98" s="166"/>
      <c r="BJ98" s="167"/>
      <c r="BR98" s="141"/>
      <c r="BS98" s="199"/>
      <c r="BT98" s="200"/>
      <c r="BU98" s="200"/>
      <c r="BV98" s="200"/>
      <c r="BW98" s="200"/>
      <c r="BX98" s="701"/>
      <c r="CC98" s="686"/>
    </row>
    <row r="99" spans="1:81" ht="28.5" customHeight="1">
      <c r="A99" s="681"/>
      <c r="B99" s="143"/>
      <c r="C99" s="684"/>
      <c r="D99" s="662"/>
      <c r="E99" s="663"/>
      <c r="F99" s="706"/>
      <c r="G99" s="268"/>
      <c r="H99" s="126"/>
      <c r="I99" s="126"/>
      <c r="J99" s="126"/>
      <c r="K99" s="126"/>
      <c r="L99" s="126"/>
      <c r="N99" s="166"/>
      <c r="O99" s="144" t="s">
        <v>180</v>
      </c>
      <c r="P99" s="145">
        <v>2</v>
      </c>
      <c r="Q99" s="145">
        <v>0</v>
      </c>
      <c r="R99" s="145">
        <v>4</v>
      </c>
      <c r="S99" s="146">
        <v>2</v>
      </c>
      <c r="T99" s="167"/>
      <c r="V99" s="147"/>
      <c r="W99" s="148"/>
      <c r="X99" s="148"/>
      <c r="Y99" s="148"/>
      <c r="Z99" s="149"/>
      <c r="AB99" s="166"/>
      <c r="AC99" s="148"/>
      <c r="AD99" s="148"/>
      <c r="AE99" s="148"/>
      <c r="AF99" s="148"/>
      <c r="AG99" s="149"/>
      <c r="AH99" s="167"/>
      <c r="AJ99" s="148"/>
      <c r="AK99" s="148"/>
      <c r="AL99" s="148"/>
      <c r="AM99" s="148"/>
      <c r="AN99" s="149"/>
      <c r="AP99" s="166"/>
      <c r="AQ99" s="147"/>
      <c r="AR99" s="148"/>
      <c r="AS99" s="148"/>
      <c r="AT99" s="148"/>
      <c r="AU99" s="149"/>
      <c r="AV99" s="167"/>
      <c r="BD99" s="166"/>
      <c r="BJ99" s="167"/>
      <c r="BR99" s="141"/>
      <c r="BS99" s="657" t="s">
        <v>271</v>
      </c>
      <c r="BT99" s="658"/>
      <c r="BU99" s="658"/>
      <c r="BV99" s="658"/>
      <c r="BW99" s="658"/>
      <c r="BX99" s="701"/>
      <c r="CC99" s="686"/>
    </row>
    <row r="100" spans="1:81" ht="34.5" customHeight="1" thickBot="1">
      <c r="A100" s="681"/>
      <c r="B100" s="143"/>
      <c r="C100" s="684"/>
      <c r="D100" s="665"/>
      <c r="E100" s="666"/>
      <c r="F100" s="707"/>
      <c r="G100" s="276"/>
      <c r="H100" s="277"/>
      <c r="I100" s="277"/>
      <c r="J100" s="277"/>
      <c r="K100" s="277"/>
      <c r="L100" s="277"/>
      <c r="M100" s="278"/>
      <c r="N100" s="184"/>
      <c r="O100" s="181"/>
      <c r="P100" s="181"/>
      <c r="Q100" s="181"/>
      <c r="R100" s="181"/>
      <c r="S100" s="182"/>
      <c r="T100" s="185"/>
      <c r="U100" s="183"/>
      <c r="V100" s="181"/>
      <c r="W100" s="181"/>
      <c r="X100" s="181"/>
      <c r="Y100" s="181"/>
      <c r="Z100" s="182"/>
      <c r="AA100" s="183"/>
      <c r="AB100" s="184"/>
      <c r="AC100" s="183"/>
      <c r="AD100" s="183"/>
      <c r="AE100" s="183"/>
      <c r="AF100" s="183"/>
      <c r="AG100" s="183"/>
      <c r="AH100" s="185"/>
      <c r="AI100" s="183"/>
      <c r="AJ100" s="183"/>
      <c r="AK100" s="183"/>
      <c r="AL100" s="183"/>
      <c r="AM100" s="183"/>
      <c r="AN100" s="183"/>
      <c r="AO100" s="183"/>
      <c r="AP100" s="184"/>
      <c r="AQ100" s="183"/>
      <c r="AR100" s="183"/>
      <c r="AS100" s="183"/>
      <c r="AT100" s="183"/>
      <c r="AU100" s="183"/>
      <c r="AV100" s="185"/>
      <c r="AW100" s="183"/>
      <c r="AX100" s="183"/>
      <c r="AY100" s="183"/>
      <c r="AZ100" s="183"/>
      <c r="BA100" s="183"/>
      <c r="BB100" s="183"/>
      <c r="BC100" s="183"/>
      <c r="BD100" s="184"/>
      <c r="BE100" s="183"/>
      <c r="BF100" s="183"/>
      <c r="BG100" s="183"/>
      <c r="BH100" s="183"/>
      <c r="BI100" s="183"/>
      <c r="BJ100" s="185"/>
      <c r="BK100" s="183"/>
      <c r="BL100" s="183"/>
      <c r="BM100" s="183"/>
      <c r="BN100" s="183"/>
      <c r="BO100" s="183"/>
      <c r="BP100" s="183"/>
      <c r="BQ100" s="183"/>
      <c r="BR100" s="141"/>
      <c r="BS100" s="262" t="s">
        <v>168</v>
      </c>
      <c r="BT100" s="232">
        <v>2</v>
      </c>
      <c r="BU100" s="232">
        <v>0</v>
      </c>
      <c r="BV100" s="232">
        <v>4</v>
      </c>
      <c r="BW100" s="279">
        <v>2</v>
      </c>
      <c r="BX100" s="701"/>
      <c r="CC100" s="686"/>
    </row>
    <row r="101" spans="1:81" ht="10" customHeight="1" thickBot="1">
      <c r="A101" s="681"/>
      <c r="B101" s="143"/>
      <c r="C101" s="684"/>
      <c r="D101" s="659" t="s">
        <v>272</v>
      </c>
      <c r="E101" s="660"/>
      <c r="F101" s="661"/>
      <c r="G101" s="165"/>
      <c r="H101" s="148"/>
      <c r="I101" s="148"/>
      <c r="J101" s="148"/>
      <c r="K101" s="148"/>
      <c r="L101" s="149"/>
      <c r="N101" s="166"/>
      <c r="O101" s="148"/>
      <c r="P101" s="148"/>
      <c r="Q101" s="148"/>
      <c r="R101" s="148"/>
      <c r="S101" s="149"/>
      <c r="T101" s="167"/>
      <c r="V101" s="148"/>
      <c r="W101" s="148"/>
      <c r="X101" s="148"/>
      <c r="Y101" s="148"/>
      <c r="Z101" s="149"/>
      <c r="AB101" s="166"/>
      <c r="AH101" s="167"/>
      <c r="AP101" s="166"/>
      <c r="AV101" s="167"/>
      <c r="BD101" s="166"/>
      <c r="BJ101" s="167"/>
      <c r="BR101" s="141"/>
      <c r="BX101" s="701"/>
      <c r="CC101" s="686"/>
    </row>
    <row r="102" spans="1:81" s="197" customFormat="1" ht="54" customHeight="1">
      <c r="A102" s="681"/>
      <c r="B102" s="143"/>
      <c r="C102" s="684"/>
      <c r="D102" s="662"/>
      <c r="E102" s="663"/>
      <c r="F102" s="664"/>
      <c r="G102" s="165"/>
      <c r="H102" s="668" t="s">
        <v>272</v>
      </c>
      <c r="I102" s="669"/>
      <c r="J102" s="669"/>
      <c r="K102" s="669"/>
      <c r="L102" s="670"/>
      <c r="M102" s="193"/>
      <c r="N102" s="194"/>
      <c r="O102" s="671" t="s">
        <v>273</v>
      </c>
      <c r="P102" s="672"/>
      <c r="Q102" s="672"/>
      <c r="R102" s="672"/>
      <c r="S102" s="673"/>
      <c r="T102" s="195"/>
      <c r="U102" s="193"/>
      <c r="V102" s="671" t="s">
        <v>274</v>
      </c>
      <c r="W102" s="672"/>
      <c r="X102" s="672"/>
      <c r="Y102" s="672"/>
      <c r="Z102" s="673"/>
      <c r="AA102" s="193"/>
      <c r="AB102" s="194"/>
      <c r="AC102" s="674"/>
      <c r="AD102" s="674"/>
      <c r="AE102" s="674"/>
      <c r="AF102" s="674"/>
      <c r="AG102" s="674"/>
      <c r="AH102" s="195"/>
      <c r="AI102" s="193"/>
      <c r="AO102" s="193"/>
      <c r="AP102" s="194"/>
      <c r="AQ102" s="193"/>
      <c r="AR102" s="193"/>
      <c r="AS102" s="193"/>
      <c r="AT102" s="193"/>
      <c r="AU102" s="193"/>
      <c r="AV102" s="195"/>
      <c r="AW102" s="193"/>
      <c r="AX102" s="674"/>
      <c r="AY102" s="674"/>
      <c r="AZ102" s="674"/>
      <c r="BA102" s="674"/>
      <c r="BB102" s="674"/>
      <c r="BC102" s="193"/>
      <c r="BD102" s="194"/>
      <c r="BE102" s="674"/>
      <c r="BF102" s="674"/>
      <c r="BG102" s="674"/>
      <c r="BH102" s="674"/>
      <c r="BI102" s="674"/>
      <c r="BJ102" s="195"/>
      <c r="BK102" s="193"/>
      <c r="BL102" s="674"/>
      <c r="BM102" s="674"/>
      <c r="BN102" s="674"/>
      <c r="BO102" s="674"/>
      <c r="BP102" s="674"/>
      <c r="BQ102" s="193"/>
      <c r="BR102" s="196"/>
      <c r="BS102" s="657" t="s">
        <v>272</v>
      </c>
      <c r="BT102" s="658"/>
      <c r="BU102" s="658"/>
      <c r="BV102" s="658"/>
      <c r="BW102" s="658"/>
      <c r="BX102" s="701"/>
      <c r="BZ102" s="198"/>
      <c r="CC102" s="686"/>
    </row>
    <row r="103" spans="1:81" ht="18" customHeight="1" thickBot="1">
      <c r="A103" s="681"/>
      <c r="B103" s="143"/>
      <c r="C103" s="684"/>
      <c r="D103" s="662"/>
      <c r="E103" s="663"/>
      <c r="F103" s="664"/>
      <c r="G103" s="165"/>
      <c r="H103" s="280" t="s">
        <v>180</v>
      </c>
      <c r="I103" s="281">
        <v>1</v>
      </c>
      <c r="J103" s="281">
        <v>0</v>
      </c>
      <c r="K103" s="281">
        <v>2</v>
      </c>
      <c r="L103" s="282">
        <v>1</v>
      </c>
      <c r="M103" s="167"/>
      <c r="N103" s="166"/>
      <c r="O103" s="211" t="s">
        <v>180</v>
      </c>
      <c r="P103" s="212">
        <v>1</v>
      </c>
      <c r="Q103" s="212">
        <v>0</v>
      </c>
      <c r="R103" s="212">
        <v>2</v>
      </c>
      <c r="S103" s="213">
        <v>1</v>
      </c>
      <c r="T103" s="167"/>
      <c r="V103" s="211" t="s">
        <v>180</v>
      </c>
      <c r="W103" s="212">
        <v>1</v>
      </c>
      <c r="X103" s="212">
        <v>0</v>
      </c>
      <c r="Y103" s="212">
        <v>2</v>
      </c>
      <c r="Z103" s="213">
        <f>(SUM(W103*3)+(X103))*16/48</f>
        <v>1</v>
      </c>
      <c r="AB103" s="166"/>
      <c r="AC103" s="147"/>
      <c r="AD103" s="148"/>
      <c r="AE103" s="148"/>
      <c r="AF103" s="148"/>
      <c r="AG103" s="149"/>
      <c r="AH103" s="167"/>
      <c r="AP103" s="166"/>
      <c r="AV103" s="167"/>
      <c r="AX103" s="147"/>
      <c r="AY103" s="148"/>
      <c r="AZ103" s="148"/>
      <c r="BA103" s="148"/>
      <c r="BB103" s="149"/>
      <c r="BD103" s="166"/>
      <c r="BE103" s="148"/>
      <c r="BF103" s="148"/>
      <c r="BG103" s="148"/>
      <c r="BH103" s="148"/>
      <c r="BI103" s="149"/>
      <c r="BJ103" s="167"/>
      <c r="BL103" s="148"/>
      <c r="BM103" s="148"/>
      <c r="BN103" s="148"/>
      <c r="BO103" s="148"/>
      <c r="BP103" s="149"/>
      <c r="BR103" s="141"/>
      <c r="BS103" s="262" t="s">
        <v>168</v>
      </c>
      <c r="BT103" s="263">
        <v>3</v>
      </c>
      <c r="BU103" s="263">
        <v>0</v>
      </c>
      <c r="BV103" s="263">
        <v>8</v>
      </c>
      <c r="BW103" s="264">
        <v>3</v>
      </c>
      <c r="BX103" s="701"/>
      <c r="CC103" s="686"/>
    </row>
    <row r="104" spans="1:81" ht="10" customHeight="1">
      <c r="A104" s="682"/>
      <c r="B104" s="143"/>
      <c r="C104" s="700"/>
      <c r="D104" s="665"/>
      <c r="E104" s="666"/>
      <c r="F104" s="667"/>
      <c r="G104" s="165"/>
      <c r="H104" s="283"/>
      <c r="I104" s="283"/>
      <c r="J104" s="283"/>
      <c r="K104" s="283"/>
      <c r="L104" s="284"/>
      <c r="N104" s="166"/>
      <c r="O104" s="148"/>
      <c r="P104" s="148"/>
      <c r="Q104" s="148"/>
      <c r="R104" s="148"/>
      <c r="S104" s="149"/>
      <c r="T104" s="167"/>
      <c r="V104" s="148"/>
      <c r="W104" s="148"/>
      <c r="X104" s="148"/>
      <c r="Y104" s="148"/>
      <c r="Z104" s="149"/>
      <c r="AB104" s="166"/>
      <c r="AH104" s="167"/>
      <c r="AP104" s="166"/>
      <c r="AV104" s="167"/>
      <c r="BD104" s="166"/>
      <c r="BJ104" s="167"/>
      <c r="BR104" s="285"/>
      <c r="BS104" s="286"/>
      <c r="BT104" s="286"/>
      <c r="BU104" s="286"/>
      <c r="BV104" s="286"/>
      <c r="BW104" s="286"/>
      <c r="BX104" s="287"/>
      <c r="CC104" s="686"/>
    </row>
    <row r="105" spans="1:81" ht="21.75" customHeight="1">
      <c r="A105" s="675" t="s">
        <v>275</v>
      </c>
      <c r="B105" s="676"/>
      <c r="C105" s="676"/>
      <c r="D105" s="676"/>
      <c r="E105" s="676"/>
      <c r="F105" s="677"/>
      <c r="G105" s="217"/>
      <c r="H105" s="288"/>
      <c r="I105" s="288"/>
      <c r="J105" s="288"/>
      <c r="K105" s="289"/>
      <c r="L105" s="218"/>
      <c r="M105" s="219"/>
      <c r="N105" s="218"/>
      <c r="O105" s="218"/>
      <c r="P105" s="288"/>
      <c r="Q105" s="288"/>
      <c r="R105" s="289"/>
      <c r="S105" s="218"/>
      <c r="T105" s="218"/>
      <c r="U105" s="217"/>
      <c r="V105" s="218"/>
      <c r="W105" s="288"/>
      <c r="X105" s="288"/>
      <c r="Y105" s="289"/>
      <c r="Z105" s="218"/>
      <c r="AA105" s="219"/>
      <c r="AB105" s="217"/>
      <c r="AC105" s="218"/>
      <c r="AD105" s="288"/>
      <c r="AE105" s="288"/>
      <c r="AF105" s="289"/>
      <c r="AG105" s="218"/>
      <c r="AH105" s="219"/>
      <c r="AI105" s="217"/>
      <c r="AJ105" s="218"/>
      <c r="AK105" s="288"/>
      <c r="AL105" s="288"/>
      <c r="AM105" s="289"/>
      <c r="AN105" s="218"/>
      <c r="AO105" s="219"/>
      <c r="AP105" s="218"/>
      <c r="AQ105" s="218"/>
      <c r="AR105" s="288"/>
      <c r="AS105" s="288"/>
      <c r="AT105" s="289"/>
      <c r="AU105" s="218"/>
      <c r="AV105" s="218"/>
      <c r="AW105" s="217"/>
      <c r="AX105" s="218"/>
      <c r="AY105" s="288"/>
      <c r="AZ105" s="288"/>
      <c r="BA105" s="289"/>
      <c r="BB105" s="218"/>
      <c r="BC105" s="219"/>
      <c r="BD105" s="218"/>
      <c r="BE105" s="218"/>
      <c r="BF105" s="288"/>
      <c r="BG105" s="288"/>
      <c r="BH105" s="289"/>
      <c r="BI105" s="218"/>
      <c r="BJ105" s="218"/>
      <c r="BK105" s="217"/>
      <c r="BL105" s="218"/>
      <c r="BM105" s="288"/>
      <c r="BN105" s="288"/>
      <c r="BO105" s="289"/>
      <c r="BP105" s="218"/>
      <c r="BQ105" s="219"/>
      <c r="BS105" s="678" t="s">
        <v>276</v>
      </c>
      <c r="BT105" s="678"/>
      <c r="BU105" s="678"/>
      <c r="BV105" s="678"/>
      <c r="BW105" s="679"/>
      <c r="BX105" s="290" t="s">
        <v>277</v>
      </c>
    </row>
    <row r="106" spans="1:81" s="300" customFormat="1" ht="45.65" customHeight="1">
      <c r="A106" s="291" t="s">
        <v>278</v>
      </c>
      <c r="B106" s="292" t="s">
        <v>169</v>
      </c>
      <c r="C106" s="233" t="s">
        <v>169</v>
      </c>
      <c r="D106" s="233" t="s">
        <v>170</v>
      </c>
      <c r="E106" s="293" t="s">
        <v>171</v>
      </c>
      <c r="F106" s="293" t="s">
        <v>172</v>
      </c>
      <c r="G106" s="294"/>
      <c r="H106" s="295"/>
      <c r="I106" s="296">
        <f>SUM(I103+I5+I9+I17+I26+I89+I93+I96)</f>
        <v>14</v>
      </c>
      <c r="J106" s="297">
        <v>5</v>
      </c>
      <c r="K106" s="297">
        <f>SUM(K103+K96+K93+K89+K26+K17+K9+K5)</f>
        <v>27</v>
      </c>
      <c r="L106" s="298">
        <f>SUM(L103+L96+L93+L89+L26+L17+L9+L5)</f>
        <v>15</v>
      </c>
      <c r="M106" s="299"/>
      <c r="N106" s="295"/>
      <c r="O106" s="295"/>
      <c r="P106" s="297">
        <f>SUM(P103+P99+P89+P45+P41+P26+P9+P5)</f>
        <v>18</v>
      </c>
      <c r="Q106" s="297">
        <v>4</v>
      </c>
      <c r="R106" s="297">
        <f>SUM(R103+R99+R89+R45+R41+R26+R9+R5)</f>
        <v>31</v>
      </c>
      <c r="S106" s="298">
        <f>SUM(S103+S99+S89+S45+S41+S26+S9+S5)</f>
        <v>18.333333333333336</v>
      </c>
      <c r="T106" s="295"/>
      <c r="U106" s="294"/>
      <c r="V106" s="295"/>
      <c r="W106" s="297">
        <f>SUM(W103+W89+W77+W45+W41+W33+W17+W13)</f>
        <v>17</v>
      </c>
      <c r="X106" s="297">
        <v>4</v>
      </c>
      <c r="Y106" s="297">
        <f>SUM(Y103+Y89+Y77+Y45+Y41+Y33+Y17+Y13)</f>
        <v>32</v>
      </c>
      <c r="Z106" s="297">
        <f>SUM(Z103+Z89+Z77+Z45+Z41+Z33+Z17+Z13)</f>
        <v>17</v>
      </c>
      <c r="AA106" s="299"/>
      <c r="AB106" s="294"/>
      <c r="AC106" s="295"/>
      <c r="AD106" s="297">
        <f>SUM(AD89+AD65+AD60+AD56+AD29+AD26+AD17+AD13)</f>
        <v>18</v>
      </c>
      <c r="AE106" s="297">
        <v>5</v>
      </c>
      <c r="AF106" s="297">
        <f>SUM(AF89+AF65+AF60+AF56+AF29+AF26+AF17+AF13)</f>
        <v>30</v>
      </c>
      <c r="AG106" s="298">
        <f>SUM(AG89+AG65+AG60+AG56+AG29+AG26+AG17+AG13)</f>
        <v>17</v>
      </c>
      <c r="AH106" s="299"/>
      <c r="AI106" s="294"/>
      <c r="AJ106" s="295"/>
      <c r="AK106" s="297">
        <f>SUM(AK77+AK69+AK65+AK56+AK52+AK45+AK26+AK21)</f>
        <v>18</v>
      </c>
      <c r="AL106" s="297">
        <v>8</v>
      </c>
      <c r="AM106" s="297">
        <f>SUM(AM77+AM69+AM65+AM56+AM52+AM45+AM26+AM21)</f>
        <v>29</v>
      </c>
      <c r="AN106" s="298">
        <f>SUM(AN77+AN69+AN65+AN56+AN52+AN45+AN26+AN21)</f>
        <v>17.333333333333336</v>
      </c>
      <c r="AO106" s="299"/>
      <c r="AP106" s="295"/>
      <c r="AQ106" s="295"/>
      <c r="AR106" s="297">
        <v>18</v>
      </c>
      <c r="AS106" s="297">
        <v>8</v>
      </c>
      <c r="AT106" s="297">
        <v>26</v>
      </c>
      <c r="AU106" s="298">
        <v>17</v>
      </c>
      <c r="AV106" s="295"/>
      <c r="AW106" s="294"/>
      <c r="AX106" s="295"/>
      <c r="AY106" s="297">
        <v>17</v>
      </c>
      <c r="AZ106" s="297">
        <v>8</v>
      </c>
      <c r="BA106" s="297">
        <v>27</v>
      </c>
      <c r="BB106" s="298">
        <v>17</v>
      </c>
      <c r="BC106" s="299"/>
      <c r="BD106" s="295"/>
      <c r="BE106" s="295"/>
      <c r="BF106" s="297">
        <v>17</v>
      </c>
      <c r="BG106" s="297">
        <v>7</v>
      </c>
      <c r="BH106" s="297">
        <v>28</v>
      </c>
      <c r="BI106" s="298">
        <v>18</v>
      </c>
      <c r="BJ106" s="295"/>
      <c r="BK106" s="294"/>
      <c r="BL106" s="295"/>
      <c r="BM106" s="297">
        <v>6</v>
      </c>
      <c r="BN106" s="297">
        <v>30</v>
      </c>
      <c r="BO106" s="297">
        <v>36</v>
      </c>
      <c r="BP106" s="298">
        <v>15</v>
      </c>
      <c r="BQ106" s="299"/>
      <c r="BS106" s="214" t="s">
        <v>168</v>
      </c>
      <c r="BT106" s="215" t="s">
        <v>169</v>
      </c>
      <c r="BU106" s="215" t="s">
        <v>170</v>
      </c>
      <c r="BV106" s="215" t="s">
        <v>171</v>
      </c>
      <c r="BW106" s="215" t="s">
        <v>172</v>
      </c>
      <c r="BX106" s="653">
        <v>1</v>
      </c>
      <c r="BZ106" s="301" t="s">
        <v>279</v>
      </c>
      <c r="CA106" s="302">
        <f>BW107-CA107</f>
        <v>112</v>
      </c>
      <c r="CB106" s="303">
        <f>CA106/BW107</f>
        <v>0.74172185430463577</v>
      </c>
      <c r="CC106" s="304"/>
    </row>
    <row r="107" spans="1:81" s="306" customFormat="1" ht="28.9" customHeight="1">
      <c r="A107" s="305"/>
      <c r="C107" s="307">
        <f>SUM(I106+P106+W106+AD106+AK106+AR106+AY106+BF106+BM106)</f>
        <v>143</v>
      </c>
      <c r="D107" s="307">
        <f>SUM(J106+Q106+X106+AE106+AL106+AS106+AZ106+BG106+BN106)</f>
        <v>79</v>
      </c>
      <c r="E107" s="307">
        <f>SUM(K106+R106+Y106+AF106+AM106+AT106+BA106+BH106+BO106)</f>
        <v>266</v>
      </c>
      <c r="F107" s="308">
        <v>151</v>
      </c>
      <c r="G107" s="309"/>
      <c r="H107" s="310"/>
      <c r="I107" s="655">
        <f>SUM(I106:J106)</f>
        <v>19</v>
      </c>
      <c r="J107" s="655"/>
      <c r="K107" s="310"/>
      <c r="L107" s="310"/>
      <c r="M107" s="311"/>
      <c r="N107" s="310"/>
      <c r="O107" s="310"/>
      <c r="P107" s="655">
        <f>SUM(P106:Q106)</f>
        <v>22</v>
      </c>
      <c r="Q107" s="655"/>
      <c r="R107" s="310"/>
      <c r="S107" s="310"/>
      <c r="T107" s="310"/>
      <c r="U107" s="309"/>
      <c r="V107" s="310"/>
      <c r="W107" s="655">
        <f>SUM(W106:X106)</f>
        <v>21</v>
      </c>
      <c r="X107" s="655"/>
      <c r="Y107" s="310"/>
      <c r="Z107" s="310"/>
      <c r="AA107" s="311"/>
      <c r="AB107" s="309"/>
      <c r="AC107" s="310"/>
      <c r="AD107" s="655">
        <f>SUM(AD106:AE106)</f>
        <v>23</v>
      </c>
      <c r="AE107" s="655"/>
      <c r="AF107" s="310"/>
      <c r="AG107" s="310"/>
      <c r="AH107" s="311"/>
      <c r="AI107" s="309"/>
      <c r="AJ107" s="310"/>
      <c r="AK107" s="656">
        <f>SUM(AK106:AL106)</f>
        <v>26</v>
      </c>
      <c r="AL107" s="655"/>
      <c r="AM107" s="310"/>
      <c r="AN107" s="310"/>
      <c r="AO107" s="311"/>
      <c r="AP107" s="310"/>
      <c r="AQ107" s="310"/>
      <c r="AR107" s="655">
        <f>SUM(AR106:AS106)</f>
        <v>26</v>
      </c>
      <c r="AS107" s="655"/>
      <c r="AT107" s="310"/>
      <c r="AU107" s="310"/>
      <c r="AV107" s="310"/>
      <c r="AW107" s="309"/>
      <c r="AX107" s="310"/>
      <c r="AY107" s="655">
        <f>SUM(AY106:AZ106)</f>
        <v>25</v>
      </c>
      <c r="AZ107" s="655"/>
      <c r="BA107" s="310"/>
      <c r="BB107" s="310"/>
      <c r="BC107" s="311"/>
      <c r="BD107" s="310"/>
      <c r="BE107" s="310"/>
      <c r="BF107" s="655">
        <f>SUM(BF106:BG106)</f>
        <v>24</v>
      </c>
      <c r="BG107" s="655"/>
      <c r="BH107" s="310"/>
      <c r="BI107" s="310"/>
      <c r="BJ107" s="310"/>
      <c r="BK107" s="309"/>
      <c r="BL107" s="310"/>
      <c r="BM107" s="655">
        <f>SUM(BM106:BN106)</f>
        <v>36</v>
      </c>
      <c r="BN107" s="655"/>
      <c r="BO107" s="310"/>
      <c r="BP107" s="310"/>
      <c r="BQ107" s="311"/>
      <c r="BS107" s="312"/>
      <c r="BT107" s="313">
        <f>SUM(BM106+BF106+AY106+AR106+AK106+AD106+W106+P106+I106)</f>
        <v>143</v>
      </c>
      <c r="BU107" s="313">
        <v>79</v>
      </c>
      <c r="BV107" s="313">
        <v>266</v>
      </c>
      <c r="BW107" s="313">
        <v>151</v>
      </c>
      <c r="BX107" s="654"/>
      <c r="BZ107" s="314" t="s">
        <v>280</v>
      </c>
      <c r="CA107" s="302">
        <v>39</v>
      </c>
      <c r="CB107" s="315">
        <f>CA107/BW107</f>
        <v>0.25827814569536423</v>
      </c>
      <c r="CC107" s="316"/>
    </row>
    <row r="108" spans="1:81" s="306" customFormat="1" ht="23.25" customHeight="1">
      <c r="C108" s="317"/>
      <c r="D108" s="317"/>
      <c r="E108" s="317"/>
      <c r="F108" s="318"/>
      <c r="G108" s="319"/>
      <c r="H108" s="319"/>
      <c r="I108" s="320"/>
      <c r="J108" s="320"/>
      <c r="K108" s="319"/>
      <c r="L108" s="319"/>
      <c r="M108" s="319"/>
      <c r="N108" s="319"/>
      <c r="O108" s="319"/>
      <c r="P108" s="320"/>
      <c r="Q108" s="320"/>
      <c r="R108" s="319"/>
      <c r="S108" s="319"/>
      <c r="T108" s="319"/>
      <c r="U108" s="319"/>
      <c r="V108" s="319"/>
      <c r="W108" s="320"/>
      <c r="X108" s="320"/>
      <c r="Y108" s="319"/>
      <c r="Z108" s="319"/>
      <c r="AA108" s="319"/>
      <c r="AB108" s="319"/>
      <c r="AC108" s="319"/>
      <c r="AD108" s="320"/>
      <c r="AE108" s="320"/>
      <c r="AF108" s="319"/>
      <c r="AG108" s="319"/>
      <c r="AH108" s="319"/>
      <c r="AI108" s="319"/>
      <c r="AJ108" s="319"/>
      <c r="AK108" s="318"/>
      <c r="AL108" s="320"/>
      <c r="AM108" s="319"/>
      <c r="AN108" s="319"/>
      <c r="AO108" s="319"/>
      <c r="AP108" s="319"/>
      <c r="AQ108" s="319"/>
      <c r="AR108" s="320"/>
      <c r="AS108" s="320"/>
      <c r="AT108" s="319"/>
      <c r="AU108" s="319"/>
      <c r="AV108" s="319"/>
      <c r="AW108" s="319"/>
      <c r="AX108" s="319"/>
      <c r="AY108" s="320"/>
      <c r="AZ108" s="320"/>
      <c r="BA108" s="319"/>
      <c r="BB108" s="319"/>
      <c r="BC108" s="319"/>
      <c r="BD108" s="319"/>
      <c r="BE108" s="319"/>
      <c r="BF108" s="320"/>
      <c r="BG108" s="320"/>
      <c r="BH108" s="319"/>
      <c r="BI108" s="319"/>
      <c r="BJ108" s="319"/>
      <c r="BK108" s="319"/>
      <c r="BL108" s="319"/>
      <c r="BM108" s="320"/>
      <c r="BN108" s="320"/>
      <c r="BO108" s="319"/>
      <c r="BP108" s="319"/>
      <c r="BQ108" s="319"/>
      <c r="BW108" s="321"/>
      <c r="BX108" s="322" t="s">
        <v>281</v>
      </c>
      <c r="BZ108" s="323"/>
    </row>
    <row r="109" spans="1:81" ht="12" customHeight="1">
      <c r="A109" s="126" t="s">
        <v>282</v>
      </c>
    </row>
    <row r="110" spans="1:81" s="306" customFormat="1" ht="6" customHeight="1">
      <c r="C110" s="324"/>
      <c r="D110" s="324"/>
      <c r="E110" s="324"/>
      <c r="F110" s="324"/>
      <c r="G110" s="319"/>
      <c r="H110" s="319"/>
      <c r="I110" s="320"/>
      <c r="J110" s="320"/>
      <c r="K110" s="319"/>
      <c r="L110" s="319"/>
      <c r="M110" s="319"/>
      <c r="N110" s="319"/>
      <c r="O110" s="319"/>
      <c r="P110" s="320"/>
      <c r="Q110" s="320"/>
      <c r="R110" s="319"/>
      <c r="S110" s="319"/>
      <c r="T110" s="319"/>
      <c r="U110" s="319"/>
      <c r="V110" s="319"/>
      <c r="W110" s="320"/>
      <c r="X110" s="320"/>
      <c r="Y110" s="319"/>
      <c r="Z110" s="319"/>
      <c r="AA110" s="319"/>
      <c r="AB110" s="319"/>
      <c r="AC110" s="319"/>
      <c r="AD110" s="320"/>
      <c r="AE110" s="320"/>
      <c r="AF110" s="319"/>
      <c r="AG110" s="319"/>
      <c r="AH110" s="319"/>
      <c r="AI110" s="319"/>
      <c r="AJ110" s="319"/>
      <c r="AK110" s="318"/>
      <c r="AL110" s="320"/>
      <c r="AM110" s="319"/>
      <c r="AN110" s="319"/>
      <c r="AO110" s="319"/>
      <c r="AP110" s="319"/>
      <c r="AQ110" s="319"/>
      <c r="AR110" s="320"/>
      <c r="AS110" s="320"/>
      <c r="AT110" s="319"/>
      <c r="AU110" s="319"/>
      <c r="AV110" s="319"/>
      <c r="AW110" s="319"/>
      <c r="AX110" s="319"/>
      <c r="AY110" s="320"/>
      <c r="AZ110" s="320"/>
      <c r="BA110" s="319"/>
      <c r="BB110" s="319"/>
      <c r="BC110" s="319"/>
      <c r="BD110" s="319"/>
      <c r="BE110" s="319"/>
      <c r="BF110" s="320"/>
      <c r="BG110" s="320"/>
      <c r="BH110" s="319"/>
      <c r="BI110" s="319"/>
      <c r="BJ110" s="319"/>
      <c r="BK110" s="319"/>
      <c r="BL110" s="319"/>
      <c r="BM110" s="320"/>
      <c r="BN110" s="320"/>
      <c r="BO110" s="319"/>
      <c r="BP110" s="319"/>
      <c r="BQ110" s="319"/>
      <c r="BX110" s="322"/>
      <c r="BZ110" s="323"/>
    </row>
    <row r="111" spans="1:81" ht="17.25" customHeight="1">
      <c r="C111" s="142" t="s">
        <v>283</v>
      </c>
      <c r="H111" s="126"/>
    </row>
    <row r="112" spans="1:81" ht="12" customHeight="1"/>
    <row r="113" spans="1:78" ht="21" customHeight="1">
      <c r="A113" s="142"/>
      <c r="B113" s="142"/>
      <c r="C113" s="142"/>
      <c r="D113" s="142"/>
      <c r="E113" s="142"/>
      <c r="F113" s="142"/>
      <c r="AW113" s="126"/>
      <c r="AX113" s="126"/>
      <c r="AY113" s="126"/>
      <c r="AZ113" s="126"/>
      <c r="BA113" s="126"/>
      <c r="BB113" s="126"/>
      <c r="BC113" s="127"/>
      <c r="BD113" s="126"/>
      <c r="BE113" s="128"/>
      <c r="BF113" s="126"/>
      <c r="BG113" s="126"/>
      <c r="BH113" s="126"/>
      <c r="BI113" s="126"/>
      <c r="BJ113" s="126"/>
      <c r="BK113" s="126"/>
      <c r="BL113" s="126"/>
      <c r="BM113" s="126"/>
      <c r="BN113" s="126"/>
      <c r="BO113" s="126"/>
      <c r="BP113" s="126"/>
      <c r="BQ113" s="126"/>
      <c r="BX113" s="126"/>
      <c r="BZ113" s="126"/>
    </row>
    <row r="114" spans="1:78" ht="18" customHeight="1">
      <c r="A114" s="142"/>
      <c r="B114" s="142"/>
      <c r="C114" s="142"/>
      <c r="D114" s="142"/>
      <c r="E114" s="142"/>
      <c r="F114" s="142"/>
      <c r="AW114" s="126"/>
      <c r="AX114" s="126"/>
      <c r="AY114" s="126"/>
      <c r="AZ114" s="126"/>
      <c r="BA114" s="126"/>
      <c r="BB114" s="126"/>
      <c r="BC114" s="127"/>
      <c r="BD114" s="126"/>
      <c r="BE114" s="128"/>
      <c r="BF114" s="126"/>
      <c r="BG114" s="126"/>
      <c r="BH114" s="126"/>
      <c r="BI114" s="126"/>
      <c r="BJ114" s="126"/>
      <c r="BK114" s="126"/>
      <c r="BL114" s="126"/>
      <c r="BM114" s="126"/>
      <c r="BN114" s="126"/>
      <c r="BO114" s="126"/>
      <c r="BP114" s="126"/>
      <c r="BQ114" s="126"/>
      <c r="BX114" s="126"/>
      <c r="BZ114" s="126"/>
    </row>
    <row r="115" spans="1:78" ht="12" customHeight="1">
      <c r="A115" s="142"/>
      <c r="B115" s="142"/>
      <c r="C115" s="142"/>
      <c r="D115" s="142"/>
      <c r="E115" s="142"/>
      <c r="F115" s="142"/>
      <c r="AW115" s="126"/>
      <c r="AX115" s="126"/>
      <c r="AY115" s="126"/>
      <c r="AZ115" s="126"/>
      <c r="BA115" s="126"/>
      <c r="BB115" s="126"/>
      <c r="BC115" s="127"/>
      <c r="BD115" s="126"/>
      <c r="BE115" s="128"/>
      <c r="BF115" s="126"/>
      <c r="BG115" s="126"/>
      <c r="BH115" s="126"/>
      <c r="BI115" s="126"/>
      <c r="BJ115" s="126"/>
      <c r="BK115" s="126"/>
      <c r="BL115" s="126"/>
      <c r="BM115" s="126"/>
      <c r="BN115" s="126"/>
      <c r="BO115" s="126"/>
      <c r="BP115" s="126"/>
      <c r="BQ115" s="126"/>
      <c r="BX115" s="126"/>
      <c r="BZ115" s="126"/>
    </row>
    <row r="116" spans="1:78" ht="19.5" customHeight="1">
      <c r="A116" s="142"/>
      <c r="B116" s="142"/>
      <c r="C116" s="142"/>
      <c r="D116" s="142"/>
      <c r="E116" s="142"/>
      <c r="F116" s="142"/>
      <c r="AW116" s="126"/>
      <c r="AX116" s="126"/>
      <c r="AY116" s="126"/>
      <c r="AZ116" s="126"/>
      <c r="BA116" s="126"/>
      <c r="BB116" s="126"/>
      <c r="BC116" s="127"/>
      <c r="BD116" s="126"/>
      <c r="BE116" s="128"/>
      <c r="BF116" s="126"/>
      <c r="BG116" s="126"/>
      <c r="BH116" s="126"/>
      <c r="BI116" s="126"/>
      <c r="BJ116" s="126"/>
      <c r="BK116" s="126"/>
      <c r="BL116" s="126"/>
      <c r="BM116" s="126"/>
      <c r="BN116" s="126"/>
      <c r="BO116" s="126"/>
      <c r="BP116" s="126"/>
      <c r="BQ116" s="126"/>
      <c r="BX116" s="126"/>
      <c r="BZ116" s="126"/>
    </row>
    <row r="117" spans="1:78" ht="18" customHeight="1">
      <c r="A117" s="142"/>
      <c r="B117" s="142"/>
      <c r="C117" s="142"/>
      <c r="D117" s="142"/>
      <c r="E117" s="142"/>
      <c r="F117" s="142"/>
      <c r="AW117" s="126"/>
      <c r="AX117" s="126"/>
      <c r="AY117" s="126"/>
      <c r="AZ117" s="126"/>
      <c r="BA117" s="126"/>
      <c r="BB117" s="126"/>
      <c r="BC117" s="127"/>
      <c r="BD117" s="126"/>
      <c r="BE117" s="128"/>
      <c r="BF117" s="126"/>
      <c r="BG117" s="126"/>
      <c r="BH117" s="126"/>
      <c r="BI117" s="126"/>
      <c r="BJ117" s="126"/>
      <c r="BK117" s="126"/>
      <c r="BL117" s="126"/>
      <c r="BM117" s="126"/>
      <c r="BN117" s="126"/>
      <c r="BO117" s="126"/>
      <c r="BP117" s="126"/>
      <c r="BQ117" s="126"/>
      <c r="BX117" s="126"/>
      <c r="BZ117" s="126"/>
    </row>
    <row r="118" spans="1:78" ht="12" customHeight="1">
      <c r="A118" s="142"/>
      <c r="B118" s="142"/>
      <c r="C118" s="142"/>
      <c r="D118" s="142"/>
      <c r="E118" s="142"/>
      <c r="F118" s="142"/>
      <c r="AW118" s="126"/>
      <c r="AX118" s="126"/>
      <c r="AY118" s="126"/>
      <c r="AZ118" s="126"/>
      <c r="BA118" s="126"/>
      <c r="BB118" s="126"/>
      <c r="BC118" s="127"/>
      <c r="BD118" s="126"/>
      <c r="BE118" s="128"/>
      <c r="BF118" s="126"/>
      <c r="BG118" s="126"/>
      <c r="BH118" s="126"/>
      <c r="BI118" s="126"/>
      <c r="BJ118" s="126"/>
      <c r="BK118" s="126"/>
      <c r="BL118" s="126"/>
      <c r="BM118" s="126"/>
      <c r="BN118" s="126"/>
      <c r="BO118" s="126"/>
      <c r="BP118" s="126"/>
      <c r="BQ118" s="126"/>
      <c r="BX118" s="126"/>
      <c r="BZ118" s="126"/>
    </row>
    <row r="119" spans="1:78" ht="18" customHeight="1">
      <c r="A119" s="142"/>
      <c r="B119" s="142"/>
      <c r="C119" s="142"/>
      <c r="D119" s="142"/>
      <c r="E119" s="142"/>
      <c r="F119" s="142"/>
      <c r="AW119" s="126"/>
      <c r="AX119" s="126"/>
      <c r="AY119" s="126"/>
      <c r="AZ119" s="126"/>
      <c r="BA119" s="126"/>
      <c r="BB119" s="126"/>
      <c r="BC119" s="127"/>
      <c r="BD119" s="126"/>
      <c r="BE119" s="128"/>
      <c r="BF119" s="126"/>
      <c r="BG119" s="126"/>
      <c r="BH119" s="126"/>
      <c r="BI119" s="126"/>
      <c r="BJ119" s="126"/>
      <c r="BK119" s="126"/>
      <c r="BL119" s="126"/>
      <c r="BM119" s="126"/>
      <c r="BN119" s="126"/>
      <c r="BO119" s="126"/>
      <c r="BP119" s="126"/>
      <c r="BQ119" s="126"/>
      <c r="BX119" s="126"/>
      <c r="BZ119" s="126"/>
    </row>
    <row r="120" spans="1:78" ht="15" customHeight="1">
      <c r="A120" s="142"/>
      <c r="B120" s="142"/>
      <c r="C120" s="142"/>
      <c r="D120" s="142"/>
      <c r="E120" s="142"/>
      <c r="F120" s="142"/>
      <c r="AW120" s="126"/>
      <c r="AX120" s="126"/>
      <c r="AY120" s="126"/>
      <c r="AZ120" s="126"/>
      <c r="BA120" s="126"/>
      <c r="BB120" s="126"/>
      <c r="BC120" s="127"/>
      <c r="BD120" s="126"/>
      <c r="BE120" s="128"/>
      <c r="BF120" s="126"/>
      <c r="BG120" s="126"/>
      <c r="BH120" s="126"/>
      <c r="BI120" s="126"/>
      <c r="BJ120" s="126"/>
      <c r="BK120" s="126"/>
      <c r="BL120" s="126"/>
      <c r="BM120" s="126"/>
      <c r="BN120" s="126"/>
      <c r="BO120" s="126"/>
      <c r="BP120" s="126"/>
      <c r="BQ120" s="126"/>
      <c r="BX120" s="126"/>
      <c r="BZ120" s="126"/>
    </row>
    <row r="121" spans="1:78">
      <c r="A121" s="142"/>
      <c r="B121" s="142"/>
      <c r="C121" s="142"/>
      <c r="D121" s="142"/>
      <c r="E121" s="142"/>
      <c r="F121" s="142"/>
      <c r="AW121" s="126"/>
      <c r="AX121" s="126"/>
      <c r="AY121" s="126"/>
      <c r="AZ121" s="126"/>
      <c r="BA121" s="126"/>
      <c r="BB121" s="126"/>
      <c r="BC121" s="127"/>
      <c r="BD121" s="126"/>
      <c r="BE121" s="128"/>
      <c r="BF121" s="126"/>
      <c r="BG121" s="126"/>
      <c r="BH121" s="126"/>
      <c r="BI121" s="126"/>
      <c r="BJ121" s="126"/>
      <c r="BK121" s="126"/>
      <c r="BL121" s="126"/>
      <c r="BM121" s="126"/>
      <c r="BN121" s="126"/>
      <c r="BO121" s="126"/>
      <c r="BP121" s="126"/>
      <c r="BQ121" s="126"/>
      <c r="BX121" s="126"/>
      <c r="BZ121" s="126"/>
    </row>
    <row r="122" spans="1:78" ht="15" customHeight="1">
      <c r="A122" s="142"/>
      <c r="B122" s="142"/>
      <c r="C122" s="142"/>
      <c r="D122" s="142"/>
      <c r="E122" s="142"/>
      <c r="F122" s="142"/>
      <c r="AW122" s="126"/>
      <c r="AX122" s="126"/>
      <c r="AY122" s="126"/>
      <c r="AZ122" s="126"/>
      <c r="BA122" s="126"/>
      <c r="BB122" s="126"/>
      <c r="BC122" s="127"/>
      <c r="BD122" s="126"/>
      <c r="BE122" s="128"/>
      <c r="BF122" s="126"/>
      <c r="BG122" s="126"/>
      <c r="BH122" s="126"/>
      <c r="BI122" s="126"/>
      <c r="BJ122" s="126"/>
      <c r="BK122" s="126"/>
      <c r="BL122" s="126"/>
      <c r="BM122" s="126"/>
      <c r="BN122" s="126"/>
      <c r="BO122" s="126"/>
      <c r="BP122" s="126"/>
      <c r="BQ122" s="126"/>
      <c r="BX122" s="126"/>
      <c r="BZ122" s="126"/>
    </row>
    <row r="123" spans="1:78" ht="22.5" customHeight="1">
      <c r="A123" s="142"/>
      <c r="B123" s="142"/>
      <c r="C123" s="142"/>
      <c r="D123" s="142"/>
      <c r="E123" s="142"/>
      <c r="F123" s="142"/>
      <c r="AW123" s="126"/>
      <c r="AX123" s="126"/>
      <c r="AY123" s="126"/>
      <c r="AZ123" s="126"/>
      <c r="BA123" s="126"/>
      <c r="BB123" s="126"/>
      <c r="BC123" s="127"/>
      <c r="BD123" s="126"/>
      <c r="BE123" s="128"/>
      <c r="BF123" s="126"/>
      <c r="BG123" s="126"/>
      <c r="BH123" s="126"/>
      <c r="BI123" s="126"/>
      <c r="BJ123" s="126"/>
      <c r="BK123" s="126"/>
      <c r="BL123" s="126"/>
      <c r="BM123" s="126"/>
      <c r="BN123" s="126"/>
      <c r="BO123" s="126"/>
      <c r="BP123" s="126"/>
      <c r="BQ123" s="126"/>
      <c r="BX123" s="126"/>
      <c r="BZ123" s="126"/>
    </row>
    <row r="124" spans="1:78">
      <c r="A124" s="142"/>
      <c r="B124" s="142"/>
      <c r="C124" s="142"/>
      <c r="D124" s="142"/>
      <c r="E124" s="142"/>
      <c r="F124" s="142"/>
      <c r="AW124" s="126"/>
      <c r="AX124" s="126"/>
      <c r="AY124" s="126"/>
      <c r="AZ124" s="126"/>
      <c r="BA124" s="126"/>
      <c r="BB124" s="126"/>
      <c r="BC124" s="127"/>
      <c r="BD124" s="126"/>
      <c r="BE124" s="128"/>
      <c r="BF124" s="126"/>
      <c r="BG124" s="126"/>
      <c r="BH124" s="126"/>
      <c r="BI124" s="126"/>
      <c r="BJ124" s="126"/>
      <c r="BK124" s="126"/>
      <c r="BL124" s="126"/>
      <c r="BM124" s="126"/>
      <c r="BN124" s="126"/>
      <c r="BO124" s="126"/>
      <c r="BP124" s="126"/>
      <c r="BQ124" s="126"/>
      <c r="BX124" s="126"/>
      <c r="BZ124" s="126"/>
    </row>
    <row r="125" spans="1:78" ht="15" customHeight="1">
      <c r="A125" s="142"/>
      <c r="B125" s="142"/>
      <c r="C125" s="142"/>
      <c r="D125" s="142"/>
      <c r="E125" s="142"/>
      <c r="F125" s="142"/>
      <c r="AW125" s="126"/>
      <c r="AX125" s="126"/>
      <c r="AY125" s="126"/>
      <c r="AZ125" s="126"/>
      <c r="BA125" s="126"/>
      <c r="BB125" s="126"/>
      <c r="BC125" s="127"/>
      <c r="BD125" s="126"/>
      <c r="BE125" s="128"/>
      <c r="BF125" s="126"/>
      <c r="BG125" s="126"/>
      <c r="BH125" s="126"/>
      <c r="BI125" s="126"/>
      <c r="BJ125" s="126"/>
      <c r="BK125" s="126"/>
      <c r="BL125" s="126"/>
      <c r="BM125" s="126"/>
      <c r="BN125" s="126"/>
      <c r="BO125" s="126"/>
      <c r="BP125" s="126"/>
      <c r="BQ125" s="126"/>
      <c r="BX125" s="126"/>
      <c r="BZ125" s="126"/>
    </row>
    <row r="126" spans="1:78" ht="24.75" customHeight="1">
      <c r="A126" s="142"/>
      <c r="B126" s="142"/>
      <c r="C126" s="142"/>
      <c r="D126" s="142"/>
      <c r="E126" s="142"/>
      <c r="F126" s="142"/>
      <c r="AW126" s="126"/>
      <c r="AX126" s="126"/>
      <c r="AY126" s="126"/>
      <c r="AZ126" s="126"/>
      <c r="BA126" s="126"/>
      <c r="BB126" s="126"/>
      <c r="BC126" s="127"/>
      <c r="BD126" s="126"/>
      <c r="BE126" s="128"/>
      <c r="BF126" s="126"/>
      <c r="BG126" s="126"/>
      <c r="BH126" s="126"/>
      <c r="BI126" s="126"/>
      <c r="BJ126" s="126"/>
      <c r="BK126" s="126"/>
      <c r="BL126" s="126"/>
      <c r="BM126" s="126"/>
      <c r="BN126" s="126"/>
      <c r="BO126" s="126"/>
      <c r="BP126" s="126"/>
      <c r="BQ126" s="126"/>
      <c r="BX126" s="126"/>
      <c r="BZ126" s="126"/>
    </row>
    <row r="127" spans="1:78" ht="12" customHeight="1">
      <c r="A127" s="142"/>
      <c r="B127" s="142"/>
      <c r="C127" s="142"/>
      <c r="D127" s="142"/>
      <c r="E127" s="142"/>
      <c r="F127" s="142"/>
      <c r="AW127" s="126"/>
      <c r="AX127" s="126"/>
      <c r="AY127" s="126"/>
      <c r="AZ127" s="126"/>
      <c r="BA127" s="126"/>
      <c r="BB127" s="126"/>
      <c r="BC127" s="127"/>
      <c r="BD127" s="126"/>
      <c r="BE127" s="128"/>
      <c r="BF127" s="126"/>
      <c r="BG127" s="126"/>
      <c r="BH127" s="126"/>
      <c r="BI127" s="126"/>
      <c r="BJ127" s="126"/>
      <c r="BK127" s="126"/>
      <c r="BL127" s="126"/>
      <c r="BM127" s="126"/>
      <c r="BN127" s="126"/>
      <c r="BO127" s="126"/>
      <c r="BP127" s="126"/>
      <c r="BQ127" s="126"/>
      <c r="BX127" s="126"/>
      <c r="BZ127" s="126"/>
    </row>
    <row r="128" spans="1:78" ht="18" customHeight="1">
      <c r="A128" s="142"/>
      <c r="B128" s="142"/>
      <c r="C128" s="142"/>
      <c r="D128" s="142"/>
      <c r="E128" s="142"/>
      <c r="F128" s="142"/>
      <c r="AW128" s="126"/>
      <c r="AX128" s="126"/>
      <c r="AY128" s="126"/>
      <c r="AZ128" s="126"/>
      <c r="BA128" s="126"/>
      <c r="BB128" s="126"/>
      <c r="BC128" s="127"/>
      <c r="BD128" s="126"/>
      <c r="BE128" s="128"/>
      <c r="BF128" s="126"/>
      <c r="BG128" s="126"/>
      <c r="BH128" s="126"/>
      <c r="BI128" s="126"/>
      <c r="BJ128" s="126"/>
      <c r="BK128" s="126"/>
      <c r="BL128" s="126"/>
      <c r="BM128" s="126"/>
      <c r="BN128" s="126"/>
      <c r="BO128" s="126"/>
      <c r="BP128" s="126"/>
      <c r="BQ128" s="126"/>
      <c r="BX128" s="126"/>
      <c r="BZ128" s="126"/>
    </row>
    <row r="129" spans="1:78" ht="21" customHeight="1">
      <c r="A129" s="142"/>
      <c r="B129" s="142"/>
      <c r="C129" s="142"/>
      <c r="D129" s="142"/>
      <c r="E129" s="142"/>
      <c r="F129" s="142"/>
      <c r="AW129" s="126"/>
      <c r="AX129" s="126"/>
      <c r="AY129" s="126"/>
      <c r="AZ129" s="126"/>
      <c r="BA129" s="126"/>
      <c r="BB129" s="126"/>
      <c r="BC129" s="127"/>
      <c r="BD129" s="126"/>
      <c r="BE129" s="128"/>
      <c r="BF129" s="126"/>
      <c r="BG129" s="126"/>
      <c r="BH129" s="126"/>
      <c r="BI129" s="126"/>
      <c r="BJ129" s="126"/>
      <c r="BK129" s="126"/>
      <c r="BL129" s="126"/>
      <c r="BM129" s="126"/>
      <c r="BN129" s="126"/>
      <c r="BO129" s="126"/>
      <c r="BP129" s="126"/>
      <c r="BQ129" s="126"/>
      <c r="BX129" s="126"/>
      <c r="BZ129" s="126"/>
    </row>
    <row r="130" spans="1:78" ht="12" customHeight="1">
      <c r="A130" s="142"/>
      <c r="B130" s="142"/>
      <c r="C130" s="142"/>
      <c r="D130" s="142"/>
      <c r="E130" s="142"/>
      <c r="F130" s="142"/>
      <c r="AW130" s="126"/>
      <c r="AX130" s="126"/>
      <c r="AY130" s="126"/>
      <c r="AZ130" s="126"/>
      <c r="BA130" s="126"/>
      <c r="BB130" s="126"/>
      <c r="BC130" s="127"/>
      <c r="BD130" s="126"/>
      <c r="BE130" s="128"/>
      <c r="BF130" s="126"/>
      <c r="BG130" s="126"/>
      <c r="BH130" s="126"/>
      <c r="BI130" s="126"/>
      <c r="BJ130" s="126"/>
      <c r="BK130" s="126"/>
      <c r="BL130" s="126"/>
      <c r="BM130" s="126"/>
      <c r="BN130" s="126"/>
      <c r="BO130" s="126"/>
      <c r="BP130" s="126"/>
      <c r="BQ130" s="126"/>
      <c r="BX130" s="126"/>
      <c r="BZ130" s="126"/>
    </row>
    <row r="131" spans="1:78" ht="26.25" customHeight="1">
      <c r="A131" s="142"/>
      <c r="B131" s="142"/>
      <c r="C131" s="142"/>
      <c r="D131" s="142"/>
      <c r="E131" s="142"/>
      <c r="F131" s="142"/>
      <c r="AP131" s="126"/>
      <c r="AQ131" s="126"/>
      <c r="AR131" s="126"/>
      <c r="AS131" s="126"/>
      <c r="AT131" s="126"/>
      <c r="AU131" s="126"/>
      <c r="AV131" s="127"/>
      <c r="AW131" s="126"/>
      <c r="AX131" s="128"/>
      <c r="AY131" s="126"/>
      <c r="AZ131" s="126"/>
      <c r="BA131" s="126"/>
      <c r="BB131" s="126"/>
      <c r="BC131" s="126"/>
      <c r="BD131" s="126"/>
      <c r="BE131" s="126"/>
      <c r="BF131" s="126"/>
      <c r="BG131" s="126"/>
      <c r="BH131" s="126"/>
      <c r="BI131" s="126"/>
      <c r="BJ131" s="126"/>
      <c r="BK131" s="126"/>
      <c r="BL131" s="126"/>
      <c r="BM131" s="126"/>
      <c r="BN131" s="126"/>
      <c r="BO131" s="126"/>
      <c r="BP131" s="126"/>
      <c r="BQ131" s="126"/>
      <c r="BX131" s="126"/>
      <c r="BZ131" s="126"/>
    </row>
    <row r="132" spans="1:78" ht="15" customHeight="1">
      <c r="A132" s="142"/>
      <c r="B132" s="142"/>
      <c r="C132" s="142"/>
      <c r="D132" s="142"/>
      <c r="E132" s="142"/>
      <c r="F132" s="142"/>
      <c r="AP132" s="126"/>
      <c r="AQ132" s="126"/>
      <c r="AR132" s="126"/>
      <c r="AS132" s="126"/>
      <c r="AT132" s="126"/>
      <c r="AU132" s="126"/>
      <c r="AV132" s="127"/>
      <c r="AW132" s="126"/>
      <c r="AX132" s="128"/>
      <c r="AY132" s="126"/>
      <c r="AZ132" s="126"/>
      <c r="BA132" s="126"/>
      <c r="BB132" s="126"/>
      <c r="BC132" s="126"/>
      <c r="BD132" s="126"/>
      <c r="BE132" s="126"/>
      <c r="BF132" s="126"/>
      <c r="BG132" s="126"/>
      <c r="BH132" s="126"/>
      <c r="BI132" s="126"/>
      <c r="BJ132" s="126"/>
      <c r="BK132" s="126"/>
      <c r="BL132" s="126"/>
      <c r="BM132" s="126"/>
      <c r="BN132" s="126"/>
      <c r="BO132" s="126"/>
      <c r="BP132" s="126"/>
      <c r="BQ132" s="126"/>
      <c r="BX132" s="126"/>
      <c r="BZ132" s="126"/>
    </row>
    <row r="65525" spans="75:75">
      <c r="BW65525" s="126">
        <f>SUM(BW1:BW65524)</f>
        <v>307.33333333333337</v>
      </c>
    </row>
  </sheetData>
  <mergeCells count="208">
    <mergeCell ref="AB1:AH1"/>
    <mergeCell ref="AI1:AO1"/>
    <mergeCell ref="AP1:AV1"/>
    <mergeCell ref="AW1:BC1"/>
    <mergeCell ref="BD1:BJ1"/>
    <mergeCell ref="BK1:BQ1"/>
    <mergeCell ref="A1:B2"/>
    <mergeCell ref="C1:C2"/>
    <mergeCell ref="D1:F2"/>
    <mergeCell ref="G1:M1"/>
    <mergeCell ref="N1:T1"/>
    <mergeCell ref="U1:AA1"/>
    <mergeCell ref="G2:M2"/>
    <mergeCell ref="O2:S2"/>
    <mergeCell ref="V2:Z2"/>
    <mergeCell ref="BX3:BX18"/>
    <mergeCell ref="H4:L4"/>
    <mergeCell ref="O4:S4"/>
    <mergeCell ref="V4:Z4"/>
    <mergeCell ref="BS4:BW4"/>
    <mergeCell ref="D15:F18"/>
    <mergeCell ref="H16:L16"/>
    <mergeCell ref="AC2:AG2"/>
    <mergeCell ref="AJ2:AN2"/>
    <mergeCell ref="AQ2:AU2"/>
    <mergeCell ref="AX2:BB2"/>
    <mergeCell ref="BE2:BI2"/>
    <mergeCell ref="BL2:BP2"/>
    <mergeCell ref="H8:L8"/>
    <mergeCell ref="O8:S8"/>
    <mergeCell ref="BS8:BW8"/>
    <mergeCell ref="D11:F14"/>
    <mergeCell ref="O12:S12"/>
    <mergeCell ref="V12:Z12"/>
    <mergeCell ref="AC12:AG12"/>
    <mergeCell ref="BS12:BW12"/>
    <mergeCell ref="D3:F6"/>
    <mergeCell ref="BE16:BI16"/>
    <mergeCell ref="BL16:BP16"/>
    <mergeCell ref="BS16:BW16"/>
    <mergeCell ref="C19:C57"/>
    <mergeCell ref="D19:D30"/>
    <mergeCell ref="E19:F23"/>
    <mergeCell ref="E24:F30"/>
    <mergeCell ref="H25:L25"/>
    <mergeCell ref="O25:S25"/>
    <mergeCell ref="V25:Z25"/>
    <mergeCell ref="O16:S16"/>
    <mergeCell ref="V16:Z16"/>
    <mergeCell ref="AC16:AG16"/>
    <mergeCell ref="AJ16:AN16"/>
    <mergeCell ref="AQ16:AU16"/>
    <mergeCell ref="AX16:BB16"/>
    <mergeCell ref="BS25:BW25"/>
    <mergeCell ref="AC28:AG28"/>
    <mergeCell ref="D31:D57"/>
    <mergeCell ref="E31:F38"/>
    <mergeCell ref="V32:Z32"/>
    <mergeCell ref="AX32:BB32"/>
    <mergeCell ref="BL33:BP33"/>
    <mergeCell ref="AQ36:AU36"/>
    <mergeCell ref="AX36:BB36"/>
    <mergeCell ref="BS36:BW36"/>
    <mergeCell ref="O40:S40"/>
    <mergeCell ref="V40:Z40"/>
    <mergeCell ref="AC40:AG40"/>
    <mergeCell ref="AQ40:AU40"/>
    <mergeCell ref="BX19:BX86"/>
    <mergeCell ref="H20:L20"/>
    <mergeCell ref="O20:S20"/>
    <mergeCell ref="V20:Z20"/>
    <mergeCell ref="AC20:AG20"/>
    <mergeCell ref="AJ20:AN20"/>
    <mergeCell ref="AQ20:AU20"/>
    <mergeCell ref="AX20:BB20"/>
    <mergeCell ref="BE20:BI20"/>
    <mergeCell ref="BL20:BP20"/>
    <mergeCell ref="BS40:BW40"/>
    <mergeCell ref="BE51:BI51"/>
    <mergeCell ref="BL51:BP51"/>
    <mergeCell ref="BS51:BW51"/>
    <mergeCell ref="BL55:BP55"/>
    <mergeCell ref="BS55:BW55"/>
    <mergeCell ref="H40:L40"/>
    <mergeCell ref="BS64:BW64"/>
    <mergeCell ref="BS68:BW68"/>
    <mergeCell ref="BS59:BW59"/>
    <mergeCell ref="CC4:CC39"/>
    <mergeCell ref="D7:F10"/>
    <mergeCell ref="AJ44:AN44"/>
    <mergeCell ref="AX44:BB44"/>
    <mergeCell ref="BE44:BI44"/>
    <mergeCell ref="BL44:BP44"/>
    <mergeCell ref="BS44:BW44"/>
    <mergeCell ref="AC25:AG25"/>
    <mergeCell ref="AJ25:AN25"/>
    <mergeCell ref="AQ25:AU25"/>
    <mergeCell ref="AX25:BB25"/>
    <mergeCell ref="BE25:BI25"/>
    <mergeCell ref="BL25:BP25"/>
    <mergeCell ref="CC40:CC78"/>
    <mergeCell ref="E43:F49"/>
    <mergeCell ref="H44:L44"/>
    <mergeCell ref="O44:S44"/>
    <mergeCell ref="V44:Z44"/>
    <mergeCell ref="AC44:AG44"/>
    <mergeCell ref="E39:F42"/>
    <mergeCell ref="AJ47:AN47"/>
    <mergeCell ref="AX40:BB40"/>
    <mergeCell ref="BE40:BI40"/>
    <mergeCell ref="BL40:BP40"/>
    <mergeCell ref="E54:F57"/>
    <mergeCell ref="V55:Z55"/>
    <mergeCell ref="AC55:AG55"/>
    <mergeCell ref="AJ55:AN55"/>
    <mergeCell ref="AQ55:AU55"/>
    <mergeCell ref="AX55:BB55"/>
    <mergeCell ref="BE55:BI55"/>
    <mergeCell ref="E50:F53"/>
    <mergeCell ref="H51:L51"/>
    <mergeCell ref="O51:S51"/>
    <mergeCell ref="AJ51:AN51"/>
    <mergeCell ref="AQ51:AU51"/>
    <mergeCell ref="AX51:BB51"/>
    <mergeCell ref="C58:C86"/>
    <mergeCell ref="D58:F61"/>
    <mergeCell ref="G58:M61"/>
    <mergeCell ref="N58:T61"/>
    <mergeCell ref="U58:AA61"/>
    <mergeCell ref="BK58:BQ61"/>
    <mergeCell ref="AC59:AG59"/>
    <mergeCell ref="AJ59:AN59"/>
    <mergeCell ref="BE64:BI64"/>
    <mergeCell ref="BL76:BP76"/>
    <mergeCell ref="D67:F74"/>
    <mergeCell ref="AJ68:AN68"/>
    <mergeCell ref="AX68:BB68"/>
    <mergeCell ref="BE68:BI68"/>
    <mergeCell ref="BE71:BI71"/>
    <mergeCell ref="AQ59:AU59"/>
    <mergeCell ref="AX59:BB59"/>
    <mergeCell ref="BE59:BI59"/>
    <mergeCell ref="D62:F66"/>
    <mergeCell ref="H64:L64"/>
    <mergeCell ref="AC64:AG64"/>
    <mergeCell ref="AJ64:AN64"/>
    <mergeCell ref="AQ64:AU64"/>
    <mergeCell ref="AX64:BB64"/>
    <mergeCell ref="BS76:BW76"/>
    <mergeCell ref="D79:F82"/>
    <mergeCell ref="AQ80:AU80"/>
    <mergeCell ref="AX80:BB80"/>
    <mergeCell ref="BE80:BI80"/>
    <mergeCell ref="BS80:BW80"/>
    <mergeCell ref="D75:F78"/>
    <mergeCell ref="V76:Z76"/>
    <mergeCell ref="AJ76:AN76"/>
    <mergeCell ref="AQ76:AU76"/>
    <mergeCell ref="AX76:BB76"/>
    <mergeCell ref="BE76:BI76"/>
    <mergeCell ref="CC80:CC104"/>
    <mergeCell ref="D83:F86"/>
    <mergeCell ref="BL84:BP84"/>
    <mergeCell ref="BS84:BW84"/>
    <mergeCell ref="C87:C104"/>
    <mergeCell ref="D87:F90"/>
    <mergeCell ref="BX87:BX103"/>
    <mergeCell ref="H88:L88"/>
    <mergeCell ref="O88:S88"/>
    <mergeCell ref="V88:Z88"/>
    <mergeCell ref="D91:F97"/>
    <mergeCell ref="H92:L92"/>
    <mergeCell ref="V92:Z92"/>
    <mergeCell ref="AQ92:AU92"/>
    <mergeCell ref="BS92:BW92"/>
    <mergeCell ref="H95:L95"/>
    <mergeCell ref="AC88:AG88"/>
    <mergeCell ref="AJ88:AN88"/>
    <mergeCell ref="AQ88:AU88"/>
    <mergeCell ref="AX88:BB88"/>
    <mergeCell ref="BE88:BI88"/>
    <mergeCell ref="BS88:BW88"/>
    <mergeCell ref="D98:F100"/>
    <mergeCell ref="O98:S98"/>
    <mergeCell ref="BX106:BX107"/>
    <mergeCell ref="I107:J107"/>
    <mergeCell ref="P107:Q107"/>
    <mergeCell ref="W107:X107"/>
    <mergeCell ref="AD107:AE107"/>
    <mergeCell ref="AK107:AL107"/>
    <mergeCell ref="BS99:BW99"/>
    <mergeCell ref="D101:F104"/>
    <mergeCell ref="H102:L102"/>
    <mergeCell ref="O102:S102"/>
    <mergeCell ref="V102:Z102"/>
    <mergeCell ref="AC102:AG102"/>
    <mergeCell ref="AX102:BB102"/>
    <mergeCell ref="BE102:BI102"/>
    <mergeCell ref="AR107:AS107"/>
    <mergeCell ref="AY107:AZ107"/>
    <mergeCell ref="BF107:BG107"/>
    <mergeCell ref="BM107:BN107"/>
    <mergeCell ref="BL102:BP102"/>
    <mergeCell ref="BS102:BW102"/>
    <mergeCell ref="A105:F105"/>
    <mergeCell ref="BS105:BW105"/>
    <mergeCell ref="A3:A104"/>
    <mergeCell ref="C3:C18"/>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82"/>
  <sheetViews>
    <sheetView topLeftCell="A55" zoomScale="70" zoomScaleNormal="70" workbookViewId="0">
      <selection activeCell="C88" sqref="A63:XFD88"/>
    </sheetView>
  </sheetViews>
  <sheetFormatPr baseColWidth="10" defaultColWidth="12.58203125" defaultRowHeight="15" customHeight="1"/>
  <cols>
    <col min="1" max="1" width="17.58203125" customWidth="1"/>
    <col min="2" max="2" width="34.25" customWidth="1"/>
    <col min="3" max="3" width="67" customWidth="1"/>
    <col min="4" max="4" width="36.08203125" customWidth="1"/>
    <col min="5" max="5" width="88.75" customWidth="1"/>
    <col min="6" max="6" width="21.75" customWidth="1"/>
    <col min="7" max="7" width="35.83203125" customWidth="1"/>
    <col min="8" max="8" width="26" customWidth="1"/>
    <col min="9" max="9" width="27.75" customWidth="1"/>
    <col min="10" max="22" width="9.33203125" customWidth="1"/>
  </cols>
  <sheetData>
    <row r="1" spans="1:6" ht="15.5">
      <c r="A1" s="920"/>
      <c r="B1" s="921"/>
      <c r="C1" s="921"/>
      <c r="D1" s="3"/>
    </row>
    <row r="2" spans="1:6" ht="18" customHeight="1">
      <c r="A2" s="929" t="s">
        <v>155</v>
      </c>
      <c r="B2" s="930"/>
      <c r="C2" s="930"/>
      <c r="D2" s="930"/>
      <c r="E2" s="930"/>
      <c r="F2" s="930"/>
    </row>
    <row r="3" spans="1:6" ht="28.5" customHeight="1">
      <c r="A3" s="624" t="s">
        <v>0</v>
      </c>
      <c r="B3" s="624" t="s">
        <v>1</v>
      </c>
      <c r="C3" s="624" t="s">
        <v>2</v>
      </c>
      <c r="D3" s="623" t="s">
        <v>342</v>
      </c>
      <c r="E3" s="623" t="s">
        <v>343</v>
      </c>
      <c r="F3" s="623" t="s">
        <v>344</v>
      </c>
    </row>
    <row r="4" spans="1:6" ht="62.5" customHeight="1">
      <c r="A4" s="922" t="s">
        <v>3</v>
      </c>
      <c r="B4" s="914" t="s">
        <v>4</v>
      </c>
      <c r="C4" s="912" t="s">
        <v>297</v>
      </c>
      <c r="D4" s="932" t="s">
        <v>368</v>
      </c>
      <c r="E4" s="638" t="s">
        <v>369</v>
      </c>
      <c r="F4" s="625" t="s">
        <v>360</v>
      </c>
    </row>
    <row r="5" spans="1:6" ht="77.5" customHeight="1">
      <c r="A5" s="922"/>
      <c r="B5" s="914"/>
      <c r="C5" s="912"/>
      <c r="D5" s="932"/>
      <c r="E5" s="638" t="s">
        <v>370</v>
      </c>
      <c r="F5" s="625" t="s">
        <v>360</v>
      </c>
    </row>
    <row r="6" spans="1:6" ht="77.5" customHeight="1">
      <c r="A6" s="922"/>
      <c r="B6" s="914"/>
      <c r="C6" s="908" t="s">
        <v>298</v>
      </c>
      <c r="D6" s="912" t="s">
        <v>371</v>
      </c>
      <c r="E6" s="638" t="s">
        <v>372</v>
      </c>
      <c r="F6" s="625" t="s">
        <v>360</v>
      </c>
    </row>
    <row r="7" spans="1:6" ht="77.5" customHeight="1">
      <c r="A7" s="922"/>
      <c r="B7" s="914"/>
      <c r="C7" s="908"/>
      <c r="D7" s="912"/>
      <c r="E7" s="638" t="s">
        <v>373</v>
      </c>
      <c r="F7" s="625" t="s">
        <v>360</v>
      </c>
    </row>
    <row r="8" spans="1:6" ht="87.65" customHeight="1">
      <c r="A8" s="922"/>
      <c r="B8" s="914"/>
      <c r="C8" s="908"/>
      <c r="D8" s="912"/>
      <c r="E8" s="638" t="s">
        <v>374</v>
      </c>
      <c r="F8" s="625" t="s">
        <v>360</v>
      </c>
    </row>
    <row r="9" spans="1:6" ht="87.65" customHeight="1">
      <c r="A9" s="922"/>
      <c r="B9" s="914"/>
      <c r="C9" s="908" t="s">
        <v>299</v>
      </c>
      <c r="D9" s="931" t="s">
        <v>375</v>
      </c>
      <c r="E9" s="638" t="s">
        <v>376</v>
      </c>
      <c r="F9" s="625" t="s">
        <v>360</v>
      </c>
    </row>
    <row r="10" spans="1:6" ht="87.65" customHeight="1">
      <c r="A10" s="922"/>
      <c r="B10" s="914"/>
      <c r="C10" s="908"/>
      <c r="D10" s="931"/>
      <c r="E10" s="638" t="s">
        <v>377</v>
      </c>
      <c r="F10" s="625" t="s">
        <v>360</v>
      </c>
    </row>
    <row r="11" spans="1:6" ht="97.5" customHeight="1">
      <c r="A11" s="922"/>
      <c r="B11" s="914"/>
      <c r="C11" s="908"/>
      <c r="D11" s="931"/>
      <c r="E11" s="638" t="s">
        <v>378</v>
      </c>
      <c r="F11" s="625" t="s">
        <v>360</v>
      </c>
    </row>
    <row r="12" spans="1:6" ht="89.15" customHeight="1">
      <c r="A12" s="922"/>
      <c r="B12" s="914"/>
      <c r="C12" s="912" t="s">
        <v>300</v>
      </c>
      <c r="D12" s="931" t="s">
        <v>379</v>
      </c>
      <c r="E12" s="638" t="s">
        <v>380</v>
      </c>
      <c r="F12" s="625" t="s">
        <v>360</v>
      </c>
    </row>
    <row r="13" spans="1:6" ht="91.5" customHeight="1">
      <c r="A13" s="922"/>
      <c r="B13" s="914"/>
      <c r="C13" s="912"/>
      <c r="D13" s="931"/>
      <c r="E13" s="638" t="s">
        <v>381</v>
      </c>
      <c r="F13" s="625" t="s">
        <v>360</v>
      </c>
    </row>
    <row r="14" spans="1:6" ht="45" customHeight="1">
      <c r="A14" s="923" t="s">
        <v>5</v>
      </c>
      <c r="B14" s="926" t="s">
        <v>6</v>
      </c>
      <c r="C14" s="908" t="s">
        <v>301</v>
      </c>
      <c r="D14" s="912" t="s">
        <v>108</v>
      </c>
      <c r="E14" s="638" t="s">
        <v>357</v>
      </c>
      <c r="F14" s="625" t="s">
        <v>360</v>
      </c>
    </row>
    <row r="15" spans="1:6" ht="27">
      <c r="A15" s="924"/>
      <c r="B15" s="927"/>
      <c r="C15" s="908"/>
      <c r="D15" s="912"/>
      <c r="E15" s="638" t="s">
        <v>358</v>
      </c>
      <c r="F15" s="625" t="s">
        <v>360</v>
      </c>
    </row>
    <row r="16" spans="1:6" ht="27">
      <c r="A16" s="924"/>
      <c r="B16" s="927"/>
      <c r="C16" s="908"/>
      <c r="D16" s="912"/>
      <c r="E16" s="638" t="s">
        <v>359</v>
      </c>
      <c r="F16" s="625" t="s">
        <v>360</v>
      </c>
    </row>
    <row r="17" spans="1:6" ht="40.5">
      <c r="A17" s="924"/>
      <c r="B17" s="927"/>
      <c r="C17" s="912" t="s">
        <v>302</v>
      </c>
      <c r="D17" s="912" t="s">
        <v>110</v>
      </c>
      <c r="E17" s="639" t="s">
        <v>361</v>
      </c>
      <c r="F17" s="625" t="s">
        <v>360</v>
      </c>
    </row>
    <row r="18" spans="1:6" ht="72.650000000000006" customHeight="1">
      <c r="A18" s="924"/>
      <c r="B18" s="927"/>
      <c r="C18" s="912"/>
      <c r="D18" s="912"/>
      <c r="E18" s="638" t="s">
        <v>362</v>
      </c>
      <c r="F18" s="625" t="s">
        <v>360</v>
      </c>
    </row>
    <row r="19" spans="1:6" ht="98.15" customHeight="1">
      <c r="A19" s="924"/>
      <c r="B19" s="927"/>
      <c r="C19" s="908" t="s">
        <v>303</v>
      </c>
      <c r="D19" s="912" t="s">
        <v>363</v>
      </c>
      <c r="E19" s="638" t="s">
        <v>364</v>
      </c>
      <c r="F19" s="625" t="s">
        <v>360</v>
      </c>
    </row>
    <row r="20" spans="1:6" ht="123" customHeight="1">
      <c r="A20" s="924"/>
      <c r="B20" s="927"/>
      <c r="C20" s="908"/>
      <c r="D20" s="912"/>
      <c r="E20" s="638" t="s">
        <v>365</v>
      </c>
      <c r="F20" s="625" t="s">
        <v>360</v>
      </c>
    </row>
    <row r="21" spans="1:6" ht="72" customHeight="1">
      <c r="A21" s="924"/>
      <c r="B21" s="927"/>
      <c r="C21" s="908"/>
      <c r="D21" s="912"/>
      <c r="E21" s="638" t="s">
        <v>366</v>
      </c>
      <c r="F21" s="625" t="s">
        <v>360</v>
      </c>
    </row>
    <row r="22" spans="1:6" ht="80.5" customHeight="1">
      <c r="A22" s="925"/>
      <c r="B22" s="928"/>
      <c r="C22" s="908"/>
      <c r="D22" s="912"/>
      <c r="E22" s="638" t="s">
        <v>367</v>
      </c>
      <c r="F22" s="625" t="s">
        <v>360</v>
      </c>
    </row>
    <row r="23" spans="1:6" ht="40.5">
      <c r="A23" s="922" t="s">
        <v>7</v>
      </c>
      <c r="B23" s="914" t="s">
        <v>8</v>
      </c>
      <c r="C23" s="912" t="s">
        <v>340</v>
      </c>
      <c r="D23" s="912" t="s">
        <v>108</v>
      </c>
      <c r="E23" s="638" t="s">
        <v>346</v>
      </c>
      <c r="F23" s="626" t="s">
        <v>348</v>
      </c>
    </row>
    <row r="24" spans="1:6" ht="95.15" customHeight="1">
      <c r="A24" s="922"/>
      <c r="B24" s="914"/>
      <c r="C24" s="912"/>
      <c r="D24" s="912"/>
      <c r="E24" s="638" t="s">
        <v>345</v>
      </c>
      <c r="F24" s="626" t="s">
        <v>348</v>
      </c>
    </row>
    <row r="25" spans="1:6" ht="106.5" customHeight="1">
      <c r="A25" s="922"/>
      <c r="B25" s="914"/>
      <c r="C25" s="912"/>
      <c r="D25" s="912"/>
      <c r="E25" s="638" t="s">
        <v>347</v>
      </c>
      <c r="F25" s="626" t="s">
        <v>348</v>
      </c>
    </row>
    <row r="26" spans="1:6" ht="56.15" customHeight="1">
      <c r="A26" s="922"/>
      <c r="B26" s="914"/>
      <c r="C26" s="908" t="s">
        <v>304</v>
      </c>
      <c r="D26" s="912" t="s">
        <v>349</v>
      </c>
      <c r="E26" s="638" t="s">
        <v>350</v>
      </c>
      <c r="F26" s="626" t="s">
        <v>348</v>
      </c>
    </row>
    <row r="27" spans="1:6" ht="66" customHeight="1">
      <c r="A27" s="922"/>
      <c r="B27" s="914"/>
      <c r="C27" s="908"/>
      <c r="D27" s="912"/>
      <c r="E27" s="638" t="s">
        <v>351</v>
      </c>
      <c r="F27" s="626" t="s">
        <v>348</v>
      </c>
    </row>
    <row r="28" spans="1:6" ht="66" customHeight="1">
      <c r="A28" s="922"/>
      <c r="B28" s="914"/>
      <c r="C28" s="912" t="s">
        <v>305</v>
      </c>
      <c r="D28" s="912" t="s">
        <v>352</v>
      </c>
      <c r="E28" s="638" t="s">
        <v>353</v>
      </c>
      <c r="F28" s="626" t="s">
        <v>348</v>
      </c>
    </row>
    <row r="29" spans="1:6" ht="66" customHeight="1">
      <c r="A29" s="922"/>
      <c r="B29" s="914"/>
      <c r="C29" s="912"/>
      <c r="D29" s="912"/>
      <c r="E29" s="638" t="s">
        <v>354</v>
      </c>
      <c r="F29" s="626" t="s">
        <v>348</v>
      </c>
    </row>
    <row r="30" spans="1:6" ht="66" customHeight="1">
      <c r="A30" s="922"/>
      <c r="B30" s="914"/>
      <c r="C30" s="912"/>
      <c r="D30" s="912"/>
      <c r="E30" s="638" t="s">
        <v>355</v>
      </c>
      <c r="F30" s="626" t="s">
        <v>348</v>
      </c>
    </row>
    <row r="31" spans="1:6" ht="156.65" customHeight="1">
      <c r="A31" s="922"/>
      <c r="B31" s="914"/>
      <c r="C31" s="912"/>
      <c r="D31" s="912"/>
      <c r="E31" s="638" t="s">
        <v>356</v>
      </c>
      <c r="F31" s="626" t="s">
        <v>348</v>
      </c>
    </row>
    <row r="32" spans="1:6" ht="70" customHeight="1">
      <c r="A32" s="922" t="s">
        <v>9</v>
      </c>
      <c r="B32" s="908" t="s">
        <v>10</v>
      </c>
      <c r="C32" s="908" t="s">
        <v>306</v>
      </c>
      <c r="D32" s="931" t="s">
        <v>382</v>
      </c>
      <c r="E32" s="638" t="s">
        <v>383</v>
      </c>
      <c r="F32" s="908" t="s">
        <v>393</v>
      </c>
    </row>
    <row r="33" spans="1:6" ht="54">
      <c r="A33" s="922"/>
      <c r="B33" s="908"/>
      <c r="C33" s="908"/>
      <c r="D33" s="931"/>
      <c r="E33" s="638" t="s">
        <v>384</v>
      </c>
      <c r="F33" s="908"/>
    </row>
    <row r="34" spans="1:6" ht="14.5">
      <c r="A34" s="922"/>
      <c r="B34" s="908"/>
      <c r="C34" s="908"/>
      <c r="D34" s="931"/>
      <c r="E34" s="638" t="s">
        <v>385</v>
      </c>
      <c r="F34" s="908"/>
    </row>
    <row r="35" spans="1:6" ht="41.15" customHeight="1">
      <c r="A35" s="922"/>
      <c r="B35" s="908"/>
      <c r="C35" s="912" t="s">
        <v>307</v>
      </c>
      <c r="D35" s="912" t="s">
        <v>349</v>
      </c>
      <c r="E35" s="638" t="s">
        <v>386</v>
      </c>
      <c r="F35" s="908"/>
    </row>
    <row r="36" spans="1:6" ht="41.15" customHeight="1">
      <c r="A36" s="922"/>
      <c r="B36" s="908"/>
      <c r="C36" s="912"/>
      <c r="D36" s="912"/>
      <c r="E36" s="638" t="s">
        <v>387</v>
      </c>
      <c r="F36" s="908"/>
    </row>
    <row r="37" spans="1:6" ht="41.15" customHeight="1">
      <c r="A37" s="922"/>
      <c r="B37" s="908"/>
      <c r="C37" s="912"/>
      <c r="D37" s="912"/>
      <c r="E37" s="638" t="s">
        <v>388</v>
      </c>
      <c r="F37" s="908"/>
    </row>
    <row r="38" spans="1:6" ht="126" customHeight="1">
      <c r="A38" s="922"/>
      <c r="B38" s="908"/>
      <c r="C38" s="908" t="s">
        <v>308</v>
      </c>
      <c r="D38" s="912" t="s">
        <v>389</v>
      </c>
      <c r="E38" s="638" t="s">
        <v>390</v>
      </c>
      <c r="F38" s="908"/>
    </row>
    <row r="39" spans="1:6" ht="40.5">
      <c r="A39" s="922"/>
      <c r="B39" s="908"/>
      <c r="C39" s="908"/>
      <c r="D39" s="912"/>
      <c r="E39" s="638" t="s">
        <v>391</v>
      </c>
      <c r="F39" s="908"/>
    </row>
    <row r="40" spans="1:6" ht="27">
      <c r="A40" s="922"/>
      <c r="B40" s="908"/>
      <c r="C40" s="908"/>
      <c r="D40" s="912"/>
      <c r="E40" s="638" t="s">
        <v>392</v>
      </c>
      <c r="F40" s="908"/>
    </row>
    <row r="41" spans="1:6" ht="66" customHeight="1">
      <c r="A41" s="922" t="s">
        <v>11</v>
      </c>
      <c r="B41" s="914" t="s">
        <v>12</v>
      </c>
      <c r="C41" s="905" t="s">
        <v>309</v>
      </c>
      <c r="D41" s="912" t="s">
        <v>394</v>
      </c>
      <c r="E41" s="638" t="s">
        <v>400</v>
      </c>
      <c r="F41" s="627"/>
    </row>
    <row r="42" spans="1:6" ht="66" customHeight="1">
      <c r="A42" s="922"/>
      <c r="B42" s="914"/>
      <c r="C42" s="905"/>
      <c r="D42" s="912"/>
      <c r="E42" s="638" t="s">
        <v>401</v>
      </c>
      <c r="F42" s="627"/>
    </row>
    <row r="43" spans="1:6" ht="54.65" customHeight="1">
      <c r="A43" s="922"/>
      <c r="B43" s="914"/>
      <c r="C43" s="905"/>
      <c r="D43" s="912"/>
      <c r="E43" s="638" t="s">
        <v>402</v>
      </c>
      <c r="F43" s="628"/>
    </row>
    <row r="44" spans="1:6" ht="60" customHeight="1">
      <c r="A44" s="922"/>
      <c r="B44" s="914"/>
      <c r="C44" s="906" t="s">
        <v>310</v>
      </c>
      <c r="D44" s="912" t="s">
        <v>395</v>
      </c>
      <c r="E44" s="638" t="s">
        <v>403</v>
      </c>
      <c r="F44" s="628"/>
    </row>
    <row r="45" spans="1:6" ht="60" customHeight="1">
      <c r="A45" s="922"/>
      <c r="B45" s="914"/>
      <c r="C45" s="907"/>
      <c r="D45" s="912"/>
      <c r="E45" s="638" t="s">
        <v>404</v>
      </c>
      <c r="F45" s="628"/>
    </row>
    <row r="46" spans="1:6" ht="52.5" customHeight="1">
      <c r="A46" s="922"/>
      <c r="B46" s="914"/>
      <c r="C46" s="907"/>
      <c r="D46" s="912"/>
      <c r="E46" s="638" t="s">
        <v>405</v>
      </c>
      <c r="F46" s="628"/>
    </row>
    <row r="47" spans="1:6" ht="52.5" customHeight="1">
      <c r="A47" s="922"/>
      <c r="B47" s="914"/>
      <c r="C47" s="913" t="s">
        <v>311</v>
      </c>
      <c r="D47" s="912" t="s">
        <v>396</v>
      </c>
      <c r="E47" s="638" t="s">
        <v>406</v>
      </c>
      <c r="F47" s="628"/>
    </row>
    <row r="48" spans="1:6" ht="36" customHeight="1">
      <c r="A48" s="922"/>
      <c r="B48" s="914"/>
      <c r="C48" s="913"/>
      <c r="D48" s="912"/>
      <c r="E48" s="638" t="s">
        <v>407</v>
      </c>
      <c r="F48" s="628"/>
    </row>
    <row r="49" spans="1:8" ht="36" customHeight="1">
      <c r="A49" s="922"/>
      <c r="B49" s="914"/>
      <c r="C49" s="906" t="s">
        <v>312</v>
      </c>
      <c r="D49" s="933" t="s">
        <v>397</v>
      </c>
      <c r="E49" s="638" t="s">
        <v>408</v>
      </c>
      <c r="F49" s="628"/>
    </row>
    <row r="50" spans="1:8" ht="107.25" customHeight="1">
      <c r="A50" s="923"/>
      <c r="B50" s="915"/>
      <c r="C50" s="907"/>
      <c r="D50" s="934"/>
      <c r="E50" s="638" t="s">
        <v>409</v>
      </c>
      <c r="F50" s="628"/>
    </row>
    <row r="51" spans="1:8" ht="99.75" customHeight="1">
      <c r="A51" s="922" t="s">
        <v>13</v>
      </c>
      <c r="B51" s="908" t="s">
        <v>14</v>
      </c>
      <c r="C51" s="912" t="s">
        <v>313</v>
      </c>
      <c r="D51" s="912" t="s">
        <v>410</v>
      </c>
      <c r="E51" s="638" t="s">
        <v>413</v>
      </c>
      <c r="F51" s="628"/>
    </row>
    <row r="52" spans="1:8" ht="99.75" customHeight="1">
      <c r="A52" s="922"/>
      <c r="B52" s="908"/>
      <c r="C52" s="912"/>
      <c r="D52" s="912"/>
      <c r="E52" s="638" t="s">
        <v>411</v>
      </c>
      <c r="F52" s="628"/>
    </row>
    <row r="53" spans="1:8" ht="99.75" customHeight="1">
      <c r="A53" s="922"/>
      <c r="B53" s="908"/>
      <c r="C53" s="912"/>
      <c r="D53" s="912"/>
      <c r="E53" s="638" t="s">
        <v>412</v>
      </c>
      <c r="F53" s="628"/>
    </row>
    <row r="54" spans="1:8" ht="81.75" customHeight="1">
      <c r="A54" s="922"/>
      <c r="B54" s="908"/>
      <c r="C54" s="908" t="s">
        <v>314</v>
      </c>
      <c r="D54" s="912" t="s">
        <v>398</v>
      </c>
      <c r="E54" s="638" t="s">
        <v>414</v>
      </c>
      <c r="F54" s="628"/>
    </row>
    <row r="55" spans="1:8" ht="81.75" customHeight="1">
      <c r="A55" s="922"/>
      <c r="B55" s="908"/>
      <c r="C55" s="908"/>
      <c r="D55" s="912"/>
      <c r="E55" s="638" t="s">
        <v>415</v>
      </c>
      <c r="F55" s="628"/>
    </row>
    <row r="56" spans="1:8" ht="81.75" customHeight="1">
      <c r="A56" s="922"/>
      <c r="B56" s="908"/>
      <c r="C56" s="908"/>
      <c r="D56" s="912"/>
      <c r="E56" s="638" t="s">
        <v>416</v>
      </c>
      <c r="F56" s="628"/>
    </row>
    <row r="57" spans="1:8" ht="103.5" customHeight="1">
      <c r="A57" s="922"/>
      <c r="B57" s="908"/>
      <c r="C57" s="640" t="s">
        <v>315</v>
      </c>
      <c r="D57" s="641" t="s">
        <v>396</v>
      </c>
      <c r="E57" s="641" t="s">
        <v>417</v>
      </c>
      <c r="F57" s="628"/>
    </row>
    <row r="58" spans="1:8" ht="104.25" customHeight="1">
      <c r="A58" s="922"/>
      <c r="B58" s="908"/>
      <c r="C58" s="908" t="s">
        <v>316</v>
      </c>
      <c r="D58" s="912" t="s">
        <v>397</v>
      </c>
      <c r="E58" s="641" t="s">
        <v>418</v>
      </c>
      <c r="F58" s="628"/>
    </row>
    <row r="59" spans="1:8" ht="104.25" customHeight="1">
      <c r="A59" s="922"/>
      <c r="B59" s="908"/>
      <c r="C59" s="908"/>
      <c r="D59" s="912"/>
      <c r="E59" s="641" t="s">
        <v>419</v>
      </c>
      <c r="F59" s="628"/>
    </row>
    <row r="60" spans="1:8" ht="104.25" customHeight="1">
      <c r="A60" s="922"/>
      <c r="B60" s="908"/>
      <c r="C60" s="908"/>
      <c r="D60" s="912"/>
      <c r="E60" s="641" t="s">
        <v>420</v>
      </c>
      <c r="F60" s="628"/>
    </row>
    <row r="61" spans="1:8" ht="38.15" customHeight="1">
      <c r="A61" s="629"/>
      <c r="B61" s="630" t="s">
        <v>341</v>
      </c>
      <c r="C61" s="631"/>
      <c r="D61" s="627"/>
      <c r="E61" s="628"/>
      <c r="F61" s="628"/>
    </row>
    <row r="62" spans="1:8" ht="39.75" customHeight="1">
      <c r="A62" s="938" t="s">
        <v>154</v>
      </c>
      <c r="B62" s="939"/>
      <c r="C62" s="939"/>
      <c r="D62" s="939"/>
      <c r="E62" s="939"/>
      <c r="F62" s="628"/>
    </row>
    <row r="63" spans="1:8" ht="67.5" hidden="1" customHeight="1">
      <c r="A63" s="123" t="s">
        <v>0</v>
      </c>
      <c r="B63" s="123" t="s">
        <v>1</v>
      </c>
      <c r="C63" s="647" t="s">
        <v>2</v>
      </c>
      <c r="D63" s="648" t="s">
        <v>342</v>
      </c>
      <c r="E63" s="644" t="s">
        <v>343</v>
      </c>
      <c r="F63" s="628"/>
    </row>
    <row r="64" spans="1:8" ht="110.25" hidden="1" customHeight="1">
      <c r="A64" s="909" t="s">
        <v>15</v>
      </c>
      <c r="B64" s="917" t="s">
        <v>317</v>
      </c>
      <c r="C64" s="1086" t="s">
        <v>320</v>
      </c>
      <c r="D64" s="1092" t="s">
        <v>108</v>
      </c>
      <c r="E64" s="645" t="s">
        <v>426</v>
      </c>
      <c r="F64" s="628"/>
      <c r="G64" s="5"/>
      <c r="H64" s="124"/>
    </row>
    <row r="65" spans="1:8" ht="110.25" hidden="1" customHeight="1">
      <c r="A65" s="910"/>
      <c r="B65" s="918"/>
      <c r="C65" s="1089"/>
      <c r="D65" s="1094"/>
      <c r="E65" s="645" t="s">
        <v>427</v>
      </c>
      <c r="F65" s="628"/>
      <c r="G65" s="5"/>
      <c r="H65" s="124"/>
    </row>
    <row r="66" spans="1:8" ht="61.5" hidden="1" customHeight="1">
      <c r="A66" s="910"/>
      <c r="B66" s="918"/>
      <c r="C66" s="1086" t="s">
        <v>321</v>
      </c>
      <c r="D66" s="1092" t="s">
        <v>110</v>
      </c>
      <c r="E66" s="645" t="s">
        <v>428</v>
      </c>
      <c r="F66" s="628"/>
    </row>
    <row r="67" spans="1:8" ht="61.5" hidden="1" customHeight="1">
      <c r="A67" s="910"/>
      <c r="B67" s="918"/>
      <c r="C67" s="1087"/>
      <c r="D67" s="1093"/>
      <c r="E67" s="645" t="s">
        <v>429</v>
      </c>
      <c r="F67" s="628"/>
    </row>
    <row r="68" spans="1:8" ht="61.5" hidden="1" customHeight="1">
      <c r="A68" s="910"/>
      <c r="B68" s="918"/>
      <c r="C68" s="1089"/>
      <c r="D68" s="1094"/>
      <c r="E68" s="645" t="s">
        <v>430</v>
      </c>
      <c r="F68" s="628"/>
    </row>
    <row r="69" spans="1:8" ht="83" hidden="1" customHeight="1">
      <c r="A69" s="911"/>
      <c r="B69" s="919"/>
      <c r="C69" s="642" t="s">
        <v>322</v>
      </c>
      <c r="D69" s="638" t="s">
        <v>425</v>
      </c>
      <c r="E69" s="645" t="s">
        <v>431</v>
      </c>
      <c r="F69" s="628"/>
      <c r="G69" s="108"/>
    </row>
    <row r="70" spans="1:8" ht="39.75" hidden="1" customHeight="1">
      <c r="A70" s="909" t="s">
        <v>16</v>
      </c>
      <c r="B70" s="935" t="s">
        <v>318</v>
      </c>
      <c r="C70" s="1086" t="s">
        <v>323</v>
      </c>
      <c r="D70" s="1090" t="s">
        <v>108</v>
      </c>
      <c r="E70" s="645" t="s">
        <v>432</v>
      </c>
      <c r="F70" s="628"/>
    </row>
    <row r="71" spans="1:8" ht="39.75" hidden="1" customHeight="1">
      <c r="A71" s="910"/>
      <c r="B71" s="937"/>
      <c r="C71" s="1089"/>
      <c r="D71" s="1091"/>
      <c r="E71" s="645" t="s">
        <v>433</v>
      </c>
      <c r="F71" s="628"/>
    </row>
    <row r="72" spans="1:8" ht="35.5" hidden="1" customHeight="1">
      <c r="A72" s="910"/>
      <c r="B72" s="937"/>
      <c r="C72" s="1086" t="s">
        <v>324</v>
      </c>
      <c r="D72" s="1092" t="s">
        <v>110</v>
      </c>
      <c r="E72" s="645" t="s">
        <v>434</v>
      </c>
      <c r="F72" s="628"/>
    </row>
    <row r="73" spans="1:8" ht="60.75" hidden="1" customHeight="1">
      <c r="A73" s="910"/>
      <c r="B73" s="937"/>
      <c r="C73" s="1087"/>
      <c r="D73" s="1093"/>
      <c r="E73" s="645" t="s">
        <v>435</v>
      </c>
      <c r="F73" s="628"/>
    </row>
    <row r="74" spans="1:8" ht="12" hidden="1" customHeight="1">
      <c r="A74" s="910"/>
      <c r="B74" s="937"/>
      <c r="C74" s="1088"/>
      <c r="D74" s="1094"/>
      <c r="E74" s="645" t="s">
        <v>436</v>
      </c>
      <c r="F74" s="628"/>
    </row>
    <row r="75" spans="1:8" ht="30" hidden="1" customHeight="1">
      <c r="A75" s="910"/>
      <c r="B75" s="937"/>
      <c r="C75" s="906" t="s">
        <v>325</v>
      </c>
      <c r="D75" s="1084" t="s">
        <v>425</v>
      </c>
      <c r="E75" s="645" t="s">
        <v>437</v>
      </c>
      <c r="F75" s="628"/>
    </row>
    <row r="76" spans="1:8" ht="30" hidden="1" customHeight="1">
      <c r="A76" s="911"/>
      <c r="B76" s="936"/>
      <c r="C76" s="1096"/>
      <c r="D76" s="1085"/>
      <c r="E76" s="645" t="s">
        <v>438</v>
      </c>
      <c r="F76" s="628"/>
    </row>
    <row r="77" spans="1:8" ht="45" hidden="1" customHeight="1">
      <c r="A77" s="1097" t="s">
        <v>17</v>
      </c>
      <c r="B77" s="917" t="s">
        <v>421</v>
      </c>
      <c r="C77" s="1095" t="s">
        <v>326</v>
      </c>
      <c r="D77" s="1092" t="s">
        <v>108</v>
      </c>
      <c r="E77" s="646" t="s">
        <v>439</v>
      </c>
      <c r="F77" s="628"/>
    </row>
    <row r="78" spans="1:8" ht="28.5" hidden="1">
      <c r="A78" s="1098"/>
      <c r="B78" s="918"/>
      <c r="C78" s="1083"/>
      <c r="D78" s="1094"/>
      <c r="E78" s="646" t="s">
        <v>440</v>
      </c>
      <c r="F78" s="628"/>
    </row>
    <row r="79" spans="1:8" ht="54" hidden="1">
      <c r="A79" s="1098"/>
      <c r="B79" s="918"/>
      <c r="C79" s="1082" t="s">
        <v>422</v>
      </c>
      <c r="D79" s="1084" t="s">
        <v>110</v>
      </c>
      <c r="E79" s="645" t="s">
        <v>441</v>
      </c>
      <c r="F79" s="628"/>
    </row>
    <row r="80" spans="1:8" ht="49.5" hidden="1" customHeight="1">
      <c r="A80" s="1098"/>
      <c r="B80" s="918"/>
      <c r="C80" s="1083"/>
      <c r="D80" s="1085"/>
      <c r="E80" s="645" t="s">
        <v>442</v>
      </c>
      <c r="F80" s="628"/>
    </row>
    <row r="81" spans="1:7" ht="59" hidden="1" customHeight="1">
      <c r="A81" s="1098"/>
      <c r="B81" s="918"/>
      <c r="C81" s="643" t="s">
        <v>423</v>
      </c>
      <c r="D81" s="638" t="s">
        <v>425</v>
      </c>
      <c r="E81" s="645" t="s">
        <v>443</v>
      </c>
      <c r="F81" s="628"/>
    </row>
    <row r="82" spans="1:7" ht="62.5" hidden="1" customHeight="1">
      <c r="A82" s="1099"/>
      <c r="B82" s="919"/>
      <c r="C82" s="643" t="s">
        <v>424</v>
      </c>
      <c r="D82" s="638" t="s">
        <v>114</v>
      </c>
      <c r="E82" s="645" t="s">
        <v>444</v>
      </c>
      <c r="F82" s="628"/>
    </row>
    <row r="83" spans="1:7" ht="40.5" hidden="1">
      <c r="A83" s="1097" t="s">
        <v>18</v>
      </c>
      <c r="B83" s="917" t="s">
        <v>319</v>
      </c>
      <c r="C83" s="643" t="s">
        <v>327</v>
      </c>
      <c r="D83" s="638" t="s">
        <v>108</v>
      </c>
      <c r="E83" s="645" t="s">
        <v>445</v>
      </c>
      <c r="F83" s="628"/>
    </row>
    <row r="84" spans="1:7" ht="61.5" hidden="1" customHeight="1">
      <c r="A84" s="1098"/>
      <c r="B84" s="918"/>
      <c r="C84" s="1082" t="s">
        <v>338</v>
      </c>
      <c r="D84" s="1084" t="s">
        <v>110</v>
      </c>
      <c r="E84" s="645" t="s">
        <v>446</v>
      </c>
      <c r="F84" s="628"/>
    </row>
    <row r="85" spans="1:7" ht="61.5" hidden="1" customHeight="1">
      <c r="A85" s="1098"/>
      <c r="B85" s="918"/>
      <c r="C85" s="1083"/>
      <c r="D85" s="1085"/>
      <c r="E85" s="645" t="s">
        <v>447</v>
      </c>
      <c r="F85" s="628"/>
    </row>
    <row r="86" spans="1:7" ht="57" hidden="1" customHeight="1">
      <c r="A86" s="1098"/>
      <c r="B86" s="918"/>
      <c r="C86" s="1082" t="s">
        <v>328</v>
      </c>
      <c r="D86" s="1084" t="s">
        <v>425</v>
      </c>
      <c r="E86" s="645" t="s">
        <v>448</v>
      </c>
      <c r="F86" s="628"/>
    </row>
    <row r="87" spans="1:7" ht="53.25" hidden="1" customHeight="1">
      <c r="A87" s="1098"/>
      <c r="B87" s="918"/>
      <c r="C87" s="1083"/>
      <c r="D87" s="1085"/>
      <c r="E87" s="645" t="s">
        <v>449</v>
      </c>
      <c r="F87" s="628"/>
    </row>
    <row r="88" spans="1:7" ht="66.75" hidden="1" customHeight="1">
      <c r="A88" s="1099"/>
      <c r="B88" s="919"/>
      <c r="C88" s="643" t="s">
        <v>329</v>
      </c>
      <c r="D88" s="638" t="s">
        <v>114</v>
      </c>
      <c r="E88" s="645" t="s">
        <v>450</v>
      </c>
      <c r="F88" s="628"/>
    </row>
    <row r="89" spans="1:7" ht="15.75" customHeight="1">
      <c r="A89" s="3"/>
      <c r="B89" s="3"/>
      <c r="C89" s="3"/>
    </row>
    <row r="90" spans="1:7" ht="15.75" customHeight="1">
      <c r="A90" s="123" t="s">
        <v>0</v>
      </c>
      <c r="B90" s="123" t="s">
        <v>1</v>
      </c>
      <c r="C90" s="123" t="s">
        <v>452</v>
      </c>
      <c r="D90" s="123" t="s">
        <v>343</v>
      </c>
      <c r="E90" s="1015" t="s">
        <v>141</v>
      </c>
    </row>
    <row r="91" spans="1:7" ht="95" customHeight="1">
      <c r="A91" s="1016" t="s">
        <v>15</v>
      </c>
      <c r="B91" s="1072" t="s">
        <v>501</v>
      </c>
      <c r="C91" s="1073" t="s">
        <v>502</v>
      </c>
      <c r="D91" s="1017" t="s">
        <v>453</v>
      </c>
      <c r="E91" s="1018" t="s">
        <v>454</v>
      </c>
      <c r="F91" s="3"/>
      <c r="G91" s="5" t="s">
        <v>455</v>
      </c>
    </row>
    <row r="92" spans="1:7" ht="95" customHeight="1">
      <c r="A92" s="1019"/>
      <c r="B92" s="1020"/>
      <c r="C92" s="1021"/>
      <c r="D92" s="1022" t="s">
        <v>456</v>
      </c>
      <c r="E92" s="1023" t="s">
        <v>457</v>
      </c>
      <c r="F92" s="3"/>
      <c r="G92" s="5"/>
    </row>
    <row r="93" spans="1:7" ht="95" customHeight="1">
      <c r="A93" s="1019"/>
      <c r="B93" s="1020"/>
      <c r="C93" s="1072" t="s">
        <v>503</v>
      </c>
      <c r="D93" s="1024" t="s">
        <v>458</v>
      </c>
      <c r="E93" s="1025" t="s">
        <v>459</v>
      </c>
      <c r="F93" s="3"/>
      <c r="G93" s="5"/>
    </row>
    <row r="94" spans="1:7" ht="95" customHeight="1">
      <c r="A94" s="1019"/>
      <c r="B94" s="1026"/>
      <c r="C94" s="1027"/>
      <c r="D94" s="1028" t="s">
        <v>460</v>
      </c>
      <c r="E94" s="1025" t="s">
        <v>461</v>
      </c>
      <c r="F94" s="3"/>
      <c r="G94" t="s">
        <v>462</v>
      </c>
    </row>
    <row r="95" spans="1:7" ht="95" customHeight="1">
      <c r="A95" s="1019"/>
      <c r="B95" s="1026"/>
      <c r="C95" s="1073" t="s">
        <v>504</v>
      </c>
      <c r="D95" s="1024" t="s">
        <v>463</v>
      </c>
      <c r="E95" s="1025" t="s">
        <v>464</v>
      </c>
      <c r="F95" s="3"/>
    </row>
    <row r="96" spans="1:7" ht="95" customHeight="1">
      <c r="A96" s="1029"/>
      <c r="B96" s="1030"/>
      <c r="C96" s="1021"/>
      <c r="D96" s="1031" t="s">
        <v>465</v>
      </c>
      <c r="E96" s="1025" t="s">
        <v>466</v>
      </c>
      <c r="F96" s="3"/>
      <c r="G96" s="108" t="s">
        <v>467</v>
      </c>
    </row>
    <row r="97" spans="1:6" ht="95" customHeight="1">
      <c r="A97" s="916" t="s">
        <v>16</v>
      </c>
      <c r="B97" s="1037" t="s">
        <v>511</v>
      </c>
      <c r="C97" s="1074" t="s">
        <v>505</v>
      </c>
      <c r="D97" s="1033" t="s">
        <v>468</v>
      </c>
      <c r="E97" s="1025" t="s">
        <v>469</v>
      </c>
      <c r="F97" s="3"/>
    </row>
    <row r="98" spans="1:6" ht="95" customHeight="1">
      <c r="A98" s="916"/>
      <c r="B98" s="1034"/>
      <c r="C98" s="1035"/>
      <c r="D98" s="1036" t="s">
        <v>470</v>
      </c>
      <c r="E98" s="1025" t="s">
        <v>471</v>
      </c>
      <c r="F98" s="3"/>
    </row>
    <row r="99" spans="1:6" ht="95" customHeight="1">
      <c r="A99" s="916"/>
      <c r="B99" s="1037"/>
      <c r="C99" s="1075" t="s">
        <v>506</v>
      </c>
      <c r="D99" s="1038" t="s">
        <v>472</v>
      </c>
      <c r="E99" s="1039" t="s">
        <v>473</v>
      </c>
      <c r="F99" s="3"/>
    </row>
    <row r="100" spans="1:6" ht="95" customHeight="1">
      <c r="A100" s="916"/>
      <c r="B100" s="1037"/>
      <c r="C100" s="1040"/>
      <c r="D100" s="1041" t="s">
        <v>474</v>
      </c>
      <c r="E100" s="1025" t="s">
        <v>475</v>
      </c>
      <c r="F100" s="3"/>
    </row>
    <row r="101" spans="1:6" ht="95" customHeight="1">
      <c r="A101" s="916"/>
      <c r="B101" s="1037"/>
      <c r="C101" s="1042"/>
      <c r="D101" s="1043" t="s">
        <v>476</v>
      </c>
      <c r="E101" s="1025" t="s">
        <v>477</v>
      </c>
      <c r="F101" s="3"/>
    </row>
    <row r="102" spans="1:6" ht="95" customHeight="1">
      <c r="A102" s="916"/>
      <c r="B102" s="1037"/>
      <c r="C102" s="1074" t="s">
        <v>507</v>
      </c>
      <c r="D102" s="1044" t="s">
        <v>478</v>
      </c>
      <c r="E102" s="1025" t="s">
        <v>479</v>
      </c>
      <c r="F102" s="3"/>
    </row>
    <row r="103" spans="1:6" ht="95" customHeight="1">
      <c r="A103" s="909"/>
      <c r="B103" s="1045"/>
      <c r="C103" s="1046"/>
      <c r="D103" s="1047" t="s">
        <v>480</v>
      </c>
      <c r="E103" s="1048" t="s">
        <v>481</v>
      </c>
      <c r="F103" s="3"/>
    </row>
    <row r="104" spans="1:6" ht="95" customHeight="1">
      <c r="A104" s="1049" t="s">
        <v>17</v>
      </c>
      <c r="B104" s="1037" t="s">
        <v>512</v>
      </c>
      <c r="C104" s="1037" t="s">
        <v>508</v>
      </c>
      <c r="D104" s="1050" t="s">
        <v>482</v>
      </c>
      <c r="E104" s="1051" t="s">
        <v>483</v>
      </c>
      <c r="F104" s="3"/>
    </row>
    <row r="105" spans="1:6" ht="95" customHeight="1">
      <c r="A105" s="1049"/>
      <c r="B105" s="1052"/>
      <c r="C105" s="1032"/>
      <c r="D105" s="1053" t="s">
        <v>484</v>
      </c>
      <c r="E105" s="1051"/>
      <c r="F105" s="3"/>
    </row>
    <row r="106" spans="1:6" ht="95" customHeight="1">
      <c r="A106" s="1049"/>
      <c r="B106" s="1052"/>
      <c r="C106" s="1076" t="s">
        <v>509</v>
      </c>
      <c r="D106" s="1054" t="s">
        <v>485</v>
      </c>
      <c r="E106" s="1055" t="s">
        <v>486</v>
      </c>
      <c r="F106" s="3"/>
    </row>
    <row r="107" spans="1:6" ht="95" customHeight="1">
      <c r="A107" s="1049"/>
      <c r="B107" s="1052"/>
      <c r="C107" s="1077" t="s">
        <v>510</v>
      </c>
      <c r="D107" s="1056" t="s">
        <v>487</v>
      </c>
      <c r="E107" s="1055" t="s">
        <v>488</v>
      </c>
      <c r="F107" s="3"/>
    </row>
    <row r="108" spans="1:6" ht="95" customHeight="1">
      <c r="A108" s="1057" t="s">
        <v>18</v>
      </c>
      <c r="B108" s="1078" t="s">
        <v>513</v>
      </c>
      <c r="C108" s="1079" t="s">
        <v>514</v>
      </c>
      <c r="D108" s="1058" t="s">
        <v>489</v>
      </c>
      <c r="E108" s="1059" t="s">
        <v>490</v>
      </c>
      <c r="F108" s="3"/>
    </row>
    <row r="109" spans="1:6" ht="95" customHeight="1">
      <c r="A109" s="1060"/>
      <c r="B109" s="1061"/>
      <c r="C109" s="1062"/>
      <c r="D109" s="1063" t="s">
        <v>491</v>
      </c>
      <c r="E109" s="1051"/>
      <c r="F109" s="3"/>
    </row>
    <row r="110" spans="1:6" ht="95" customHeight="1">
      <c r="A110" s="1060"/>
      <c r="B110" s="1064"/>
      <c r="C110" s="1074" t="s">
        <v>515</v>
      </c>
      <c r="D110" s="1065" t="s">
        <v>492</v>
      </c>
      <c r="E110" s="1055" t="s">
        <v>493</v>
      </c>
      <c r="F110" s="3"/>
    </row>
    <row r="111" spans="1:6" ht="95" customHeight="1">
      <c r="A111" s="1060"/>
      <c r="B111" s="1064"/>
      <c r="C111" s="1035"/>
      <c r="D111" s="1066" t="s">
        <v>494</v>
      </c>
      <c r="E111" s="1055" t="s">
        <v>495</v>
      </c>
      <c r="F111" s="3"/>
    </row>
    <row r="112" spans="1:6" ht="95" customHeight="1">
      <c r="A112" s="1060"/>
      <c r="B112" s="1064"/>
      <c r="C112" s="1080" t="s">
        <v>516</v>
      </c>
      <c r="D112" s="1067" t="s">
        <v>496</v>
      </c>
      <c r="E112" s="1051" t="s">
        <v>497</v>
      </c>
      <c r="F112" s="3"/>
    </row>
    <row r="113" spans="1:6" ht="95" customHeight="1">
      <c r="A113" s="1060"/>
      <c r="B113" s="1064"/>
      <c r="C113" s="1068"/>
      <c r="D113" s="1065" t="s">
        <v>498</v>
      </c>
      <c r="E113" s="1051"/>
      <c r="F113" s="3"/>
    </row>
    <row r="114" spans="1:6" ht="95" customHeight="1">
      <c r="A114" s="1060"/>
      <c r="B114" s="1064"/>
      <c r="C114" s="1081" t="s">
        <v>517</v>
      </c>
      <c r="D114" s="1069" t="s">
        <v>499</v>
      </c>
      <c r="E114" s="1051" t="s">
        <v>500</v>
      </c>
      <c r="F114" s="3"/>
    </row>
    <row r="115" spans="1:6" ht="95" customHeight="1">
      <c r="A115" s="1060"/>
      <c r="B115" s="1064"/>
      <c r="C115" s="1062"/>
      <c r="D115" s="1070"/>
      <c r="E115" s="1071"/>
      <c r="F115" s="3"/>
    </row>
    <row r="116" spans="1:6" ht="95" customHeight="1"/>
    <row r="117" spans="1:6" ht="95" customHeight="1"/>
    <row r="118" spans="1:6" ht="95" customHeight="1"/>
    <row r="119" spans="1:6" ht="95" customHeight="1"/>
    <row r="120" spans="1:6" ht="95" customHeight="1"/>
    <row r="121" spans="1:6" ht="95" customHeight="1"/>
    <row r="122" spans="1:6" ht="95" customHeight="1"/>
    <row r="123" spans="1:6" ht="95" customHeight="1"/>
    <row r="124" spans="1:6" ht="95" customHeight="1"/>
    <row r="125" spans="1:6" ht="95" customHeight="1"/>
    <row r="126" spans="1:6" ht="95" customHeight="1"/>
    <row r="127" spans="1:6" ht="95" customHeight="1"/>
    <row r="128" spans="1:6" ht="95" customHeight="1"/>
    <row r="129" ht="95" customHeight="1"/>
    <row r="130" ht="95" customHeight="1"/>
    <row r="131" ht="95" customHeight="1"/>
    <row r="132" ht="95" customHeight="1"/>
    <row r="133" ht="95" customHeight="1"/>
    <row r="134" ht="95" customHeight="1"/>
    <row r="135" ht="95" customHeight="1"/>
    <row r="136" ht="95" customHeight="1"/>
    <row r="137" ht="95" customHeight="1"/>
    <row r="138" ht="95" customHeight="1"/>
    <row r="139" ht="95" customHeight="1"/>
    <row r="140" ht="95" customHeight="1"/>
    <row r="141" ht="95" customHeight="1"/>
    <row r="142" ht="95" customHeight="1"/>
    <row r="143" ht="95" customHeight="1"/>
    <row r="144" ht="95" customHeight="1"/>
    <row r="145" ht="95" customHeight="1"/>
    <row r="146" ht="95" customHeight="1"/>
    <row r="147" ht="95" customHeight="1"/>
    <row r="148" ht="95" customHeight="1"/>
    <row r="149" ht="95" customHeight="1"/>
    <row r="150" ht="95" customHeight="1"/>
    <row r="151" ht="95" customHeight="1"/>
    <row r="152" ht="95" customHeight="1"/>
    <row r="153" ht="95" customHeight="1"/>
    <row r="154" ht="95" customHeight="1"/>
    <row r="155" ht="95" customHeight="1"/>
    <row r="156" ht="95" customHeight="1"/>
    <row r="157" ht="95" customHeight="1"/>
    <row r="158" ht="95" customHeight="1"/>
    <row r="159" ht="95" customHeight="1"/>
    <row r="160" ht="95" customHeight="1"/>
    <row r="161" ht="95" customHeight="1"/>
    <row r="162" ht="95" customHeight="1"/>
    <row r="163" ht="95" customHeight="1"/>
    <row r="164" ht="95" customHeight="1"/>
    <row r="165" ht="95" customHeight="1"/>
    <row r="166" ht="95" customHeight="1"/>
    <row r="167" ht="95" customHeight="1"/>
    <row r="168" ht="95" customHeight="1"/>
    <row r="169" ht="95" customHeight="1"/>
    <row r="170" ht="95" customHeight="1"/>
    <row r="171" ht="95" customHeight="1"/>
    <row r="172" ht="95" customHeight="1"/>
    <row r="173" ht="95" customHeight="1"/>
    <row r="174" ht="95" customHeight="1"/>
    <row r="175" ht="95" customHeight="1"/>
    <row r="176" ht="95" customHeight="1"/>
    <row r="177" ht="95" customHeight="1"/>
    <row r="178" ht="95" customHeight="1"/>
    <row r="179" ht="95" customHeight="1"/>
    <row r="180" ht="95" customHeight="1"/>
    <row r="181" ht="95" customHeight="1"/>
    <row r="182" ht="95" customHeight="1"/>
    <row r="183" ht="95" customHeight="1"/>
    <row r="184" ht="95" customHeight="1"/>
    <row r="185" ht="95" customHeight="1"/>
    <row r="186" ht="95" customHeight="1"/>
    <row r="187" ht="95" customHeight="1"/>
    <row r="188" ht="95" customHeight="1"/>
    <row r="189" ht="95" customHeight="1"/>
    <row r="190" ht="95" customHeight="1"/>
    <row r="191" ht="95" customHeight="1"/>
    <row r="192" ht="95" customHeight="1"/>
    <row r="193" ht="95" customHeight="1"/>
    <row r="194" ht="9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sheetData>
  <mergeCells count="106">
    <mergeCell ref="C66:C68"/>
    <mergeCell ref="C64:C65"/>
    <mergeCell ref="D66:D68"/>
    <mergeCell ref="D64:D65"/>
    <mergeCell ref="A70:A76"/>
    <mergeCell ref="A104:A107"/>
    <mergeCell ref="B104:B107"/>
    <mergeCell ref="C104:C105"/>
    <mergeCell ref="E104:E105"/>
    <mergeCell ref="A108:A115"/>
    <mergeCell ref="B108:B115"/>
    <mergeCell ref="C108:C109"/>
    <mergeCell ref="E108:E109"/>
    <mergeCell ref="C110:C111"/>
    <mergeCell ref="C112:C113"/>
    <mergeCell ref="E112:E113"/>
    <mergeCell ref="C114:C115"/>
    <mergeCell ref="D114:D115"/>
    <mergeCell ref="E114:E115"/>
    <mergeCell ref="A97:A103"/>
    <mergeCell ref="B97:B103"/>
    <mergeCell ref="C97:C98"/>
    <mergeCell ref="C99:C101"/>
    <mergeCell ref="C102:C103"/>
    <mergeCell ref="A91:A96"/>
    <mergeCell ref="B91:B96"/>
    <mergeCell ref="C91:C92"/>
    <mergeCell ref="C93:C94"/>
    <mergeCell ref="C95:C96"/>
    <mergeCell ref="D86:D87"/>
    <mergeCell ref="C86:C87"/>
    <mergeCell ref="A62:E62"/>
    <mergeCell ref="B70:B76"/>
    <mergeCell ref="C75:C76"/>
    <mergeCell ref="D77:D78"/>
    <mergeCell ref="C77:C78"/>
    <mergeCell ref="C79:C80"/>
    <mergeCell ref="D79:D80"/>
    <mergeCell ref="D75:D76"/>
    <mergeCell ref="D72:D74"/>
    <mergeCell ref="D70:D71"/>
    <mergeCell ref="C70:C71"/>
    <mergeCell ref="C72:C74"/>
    <mergeCell ref="C84:C85"/>
    <mergeCell ref="D84:D85"/>
    <mergeCell ref="D54:D56"/>
    <mergeCell ref="C58:C60"/>
    <mergeCell ref="D58:D60"/>
    <mergeCell ref="A2:F2"/>
    <mergeCell ref="C35:C37"/>
    <mergeCell ref="D35:D37"/>
    <mergeCell ref="C38:C40"/>
    <mergeCell ref="D38:D40"/>
    <mergeCell ref="F32:F40"/>
    <mergeCell ref="C12:C13"/>
    <mergeCell ref="D12:D13"/>
    <mergeCell ref="C32:C34"/>
    <mergeCell ref="D32:D34"/>
    <mergeCell ref="C4:C5"/>
    <mergeCell ref="D4:D5"/>
    <mergeCell ref="D6:D8"/>
    <mergeCell ref="D9:D11"/>
    <mergeCell ref="C9:C11"/>
    <mergeCell ref="D28:D31"/>
    <mergeCell ref="D14:D16"/>
    <mergeCell ref="C14:C16"/>
    <mergeCell ref="D17:D18"/>
    <mergeCell ref="D19:D22"/>
    <mergeCell ref="C19:C22"/>
    <mergeCell ref="C17:C18"/>
    <mergeCell ref="D26:D27"/>
    <mergeCell ref="D23:D25"/>
    <mergeCell ref="A1:C1"/>
    <mergeCell ref="A41:A50"/>
    <mergeCell ref="A23:A31"/>
    <mergeCell ref="B23:B31"/>
    <mergeCell ref="A4:A13"/>
    <mergeCell ref="B4:B13"/>
    <mergeCell ref="C23:C25"/>
    <mergeCell ref="C26:C27"/>
    <mergeCell ref="C28:C31"/>
    <mergeCell ref="A14:A22"/>
    <mergeCell ref="B14:B22"/>
    <mergeCell ref="C6:C8"/>
    <mergeCell ref="B32:B40"/>
    <mergeCell ref="A32:A40"/>
    <mergeCell ref="B77:B82"/>
    <mergeCell ref="A77:A82"/>
    <mergeCell ref="B83:B88"/>
    <mergeCell ref="A83:A88"/>
    <mergeCell ref="B41:B50"/>
    <mergeCell ref="A64:A69"/>
    <mergeCell ref="B64:B69"/>
    <mergeCell ref="A51:A60"/>
    <mergeCell ref="B51:B60"/>
    <mergeCell ref="C41:C43"/>
    <mergeCell ref="C49:C50"/>
    <mergeCell ref="C54:C56"/>
    <mergeCell ref="D41:D43"/>
    <mergeCell ref="C44:C46"/>
    <mergeCell ref="D44:D46"/>
    <mergeCell ref="D47:D48"/>
    <mergeCell ref="C47:C48"/>
    <mergeCell ref="D49:D50"/>
    <mergeCell ref="C51:C53"/>
    <mergeCell ref="D51:D53"/>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995"/>
  <sheetViews>
    <sheetView zoomScale="80" zoomScaleNormal="80" workbookViewId="0">
      <selection activeCell="E4" sqref="E4"/>
    </sheetView>
  </sheetViews>
  <sheetFormatPr baseColWidth="10" defaultColWidth="12.58203125" defaultRowHeight="15" customHeight="1"/>
  <cols>
    <col min="1" max="1" width="53.5" customWidth="1"/>
    <col min="2" max="2" width="47.58203125" style="6" customWidth="1"/>
    <col min="3" max="3" width="70.58203125" style="6" hidden="1" customWidth="1"/>
    <col min="4" max="4" width="32.75" style="6" customWidth="1"/>
    <col min="5" max="5" width="49.83203125" style="6" customWidth="1"/>
    <col min="6" max="25" width="17.75" customWidth="1"/>
  </cols>
  <sheetData>
    <row r="1" spans="1:5" ht="21">
      <c r="A1" s="940" t="s">
        <v>19</v>
      </c>
      <c r="B1" s="940"/>
      <c r="C1" s="940"/>
      <c r="D1" s="940"/>
      <c r="E1" s="940"/>
    </row>
    <row r="2" spans="1:5" ht="60.75" customHeight="1">
      <c r="A2" s="83" t="s">
        <v>20</v>
      </c>
      <c r="B2" s="83" t="s">
        <v>21</v>
      </c>
      <c r="C2" s="83" t="s">
        <v>22</v>
      </c>
      <c r="D2" s="83" t="s">
        <v>23</v>
      </c>
      <c r="E2" s="83" t="s">
        <v>2</v>
      </c>
    </row>
    <row r="3" spans="1:5" ht="147" customHeight="1">
      <c r="A3" s="608" t="s">
        <v>24</v>
      </c>
      <c r="B3" s="941" t="s">
        <v>25</v>
      </c>
      <c r="C3" s="944" t="s">
        <v>330</v>
      </c>
      <c r="D3" s="609" t="s">
        <v>331</v>
      </c>
      <c r="E3" s="609" t="s">
        <v>332</v>
      </c>
    </row>
    <row r="4" spans="1:5" ht="207.75" customHeight="1">
      <c r="A4" s="610" t="s">
        <v>26</v>
      </c>
      <c r="B4" s="942"/>
      <c r="C4" s="944"/>
      <c r="D4" s="611" t="s">
        <v>333</v>
      </c>
      <c r="E4" s="611" t="s">
        <v>334</v>
      </c>
    </row>
    <row r="5" spans="1:5" ht="201" customHeight="1">
      <c r="A5" s="612" t="s">
        <v>27</v>
      </c>
      <c r="B5" s="942"/>
      <c r="C5" s="944"/>
      <c r="D5" s="613" t="s">
        <v>335</v>
      </c>
      <c r="E5" s="613" t="s">
        <v>336</v>
      </c>
    </row>
    <row r="6" spans="1:5" ht="261.75" customHeight="1">
      <c r="A6" s="614" t="s">
        <v>28</v>
      </c>
      <c r="B6" s="943"/>
      <c r="C6" s="944"/>
      <c r="D6" s="615" t="s">
        <v>337</v>
      </c>
      <c r="E6" s="615" t="s">
        <v>339</v>
      </c>
    </row>
    <row r="7" spans="1:5" ht="15" customHeight="1">
      <c r="A7" s="4"/>
      <c r="B7" s="5"/>
      <c r="C7" s="5"/>
      <c r="D7" s="5"/>
      <c r="E7" s="5"/>
    </row>
    <row r="16" spans="1:5"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
    <mergeCell ref="A1:E1"/>
    <mergeCell ref="B3:B6"/>
    <mergeCell ref="C3:C6"/>
  </mergeCells>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BH1025"/>
  <sheetViews>
    <sheetView tabSelected="1" topLeftCell="B75" zoomScale="60" zoomScaleNormal="60" workbookViewId="0">
      <pane xSplit="1" topLeftCell="C1" activePane="topRight" state="frozen"/>
      <selection activeCell="B75" sqref="B75"/>
      <selection pane="topRight" activeCell="C101" sqref="C101"/>
    </sheetView>
  </sheetViews>
  <sheetFormatPr baseColWidth="10" defaultColWidth="12.58203125" defaultRowHeight="15" customHeight="1"/>
  <cols>
    <col min="1" max="1" width="0" hidden="1" customWidth="1"/>
    <col min="2" max="2" width="29.25" style="20" customWidth="1"/>
    <col min="3" max="3" width="35.08203125" customWidth="1"/>
    <col min="4" max="4" width="25.83203125" customWidth="1"/>
    <col min="5" max="5" width="14.5" style="16" customWidth="1"/>
    <col min="6" max="6" width="8.83203125" customWidth="1"/>
    <col min="7" max="7" width="9.25" customWidth="1"/>
    <col min="8" max="19" width="6" customWidth="1"/>
    <col min="20" max="21" width="7.75" customWidth="1"/>
    <col min="22" max="22" width="10" customWidth="1"/>
    <col min="23" max="27" width="7.75" customWidth="1"/>
    <col min="30" max="30" width="31.08203125" customWidth="1"/>
    <col min="31" max="31" width="15.08203125" customWidth="1"/>
  </cols>
  <sheetData>
    <row r="1" spans="1:28" ht="24" customHeight="1">
      <c r="A1" s="3"/>
      <c r="B1" s="995" t="s">
        <v>29</v>
      </c>
      <c r="C1" s="995"/>
      <c r="D1" s="995"/>
      <c r="E1" s="995"/>
      <c r="F1" s="995"/>
      <c r="G1" s="995"/>
      <c r="H1" s="995"/>
      <c r="I1" s="995"/>
      <c r="J1" s="995"/>
      <c r="K1" s="995"/>
      <c r="L1" s="995"/>
      <c r="M1" s="995"/>
      <c r="N1" s="995"/>
      <c r="O1" s="995"/>
      <c r="P1" s="995"/>
      <c r="Q1" s="995"/>
      <c r="R1" s="995"/>
      <c r="S1" s="995"/>
      <c r="T1" s="995"/>
      <c r="U1" s="995"/>
      <c r="V1" s="995"/>
      <c r="W1" s="995"/>
      <c r="X1" s="995"/>
      <c r="Y1" s="995"/>
      <c r="Z1" s="995"/>
      <c r="AA1" s="995"/>
      <c r="AB1" s="3"/>
    </row>
    <row r="2" spans="1:28" ht="21.75" customHeight="1">
      <c r="B2" s="993" t="s">
        <v>30</v>
      </c>
      <c r="C2" s="994"/>
      <c r="D2" s="994"/>
      <c r="E2" s="994"/>
      <c r="F2" s="994"/>
      <c r="G2" s="994"/>
      <c r="H2" s="994"/>
      <c r="I2" s="994"/>
      <c r="J2" s="994"/>
      <c r="K2" s="994"/>
      <c r="L2" s="994"/>
      <c r="M2" s="994"/>
      <c r="N2" s="994"/>
      <c r="O2" s="994"/>
      <c r="P2" s="994"/>
      <c r="Q2" s="994"/>
      <c r="R2" s="994"/>
      <c r="S2" s="994"/>
      <c r="T2" s="994"/>
      <c r="U2" s="994"/>
      <c r="V2" s="994"/>
      <c r="W2" s="994"/>
      <c r="X2" s="994"/>
      <c r="Y2" s="994"/>
      <c r="Z2" s="994"/>
      <c r="AA2" s="994"/>
    </row>
    <row r="3" spans="1:28" ht="27" customHeight="1">
      <c r="A3" s="3"/>
      <c r="B3" s="996" t="s">
        <v>31</v>
      </c>
      <c r="C3" s="997"/>
      <c r="D3" s="997"/>
      <c r="E3" s="1000"/>
      <c r="F3" s="997" t="s">
        <v>32</v>
      </c>
      <c r="G3" s="997"/>
      <c r="H3" s="997"/>
      <c r="I3" s="997"/>
      <c r="J3" s="996" t="s">
        <v>33</v>
      </c>
      <c r="K3" s="997"/>
      <c r="L3" s="997"/>
      <c r="M3" s="996" t="s">
        <v>34</v>
      </c>
      <c r="N3" s="997"/>
      <c r="O3" s="997"/>
      <c r="P3" s="996" t="s">
        <v>35</v>
      </c>
      <c r="Q3" s="997"/>
      <c r="R3" s="997"/>
      <c r="S3" s="997"/>
      <c r="T3" s="996" t="s">
        <v>36</v>
      </c>
      <c r="U3" s="997"/>
      <c r="V3" s="997"/>
      <c r="W3" s="997"/>
      <c r="X3" s="996" t="s">
        <v>37</v>
      </c>
      <c r="Y3" s="997"/>
      <c r="Z3" s="997"/>
      <c r="AA3" s="1000"/>
      <c r="AB3" s="3"/>
    </row>
    <row r="4" spans="1:28" ht="11.25" customHeight="1">
      <c r="A4" s="3"/>
      <c r="B4" s="998"/>
      <c r="C4" s="999"/>
      <c r="D4" s="999"/>
      <c r="E4" s="1001"/>
      <c r="F4" s="999"/>
      <c r="G4" s="999"/>
      <c r="H4" s="999"/>
      <c r="I4" s="999"/>
      <c r="J4" s="998"/>
      <c r="K4" s="999"/>
      <c r="L4" s="999"/>
      <c r="M4" s="998"/>
      <c r="N4" s="999"/>
      <c r="O4" s="999"/>
      <c r="P4" s="998"/>
      <c r="Q4" s="999"/>
      <c r="R4" s="999"/>
      <c r="S4" s="999"/>
      <c r="T4" s="998"/>
      <c r="U4" s="999"/>
      <c r="V4" s="999"/>
      <c r="W4" s="999"/>
      <c r="X4" s="1002"/>
      <c r="Y4" s="1003"/>
      <c r="Z4" s="1003"/>
      <c r="AA4" s="1004"/>
      <c r="AB4" s="3"/>
    </row>
    <row r="5" spans="1:28" ht="33" customHeight="1">
      <c r="A5" s="3"/>
      <c r="B5" s="972" t="s">
        <v>38</v>
      </c>
      <c r="C5" s="972"/>
      <c r="D5" s="972"/>
      <c r="E5" s="973"/>
      <c r="F5" s="21" t="s">
        <v>39</v>
      </c>
      <c r="G5" s="22" t="s">
        <v>40</v>
      </c>
      <c r="H5" s="22" t="s">
        <v>41</v>
      </c>
      <c r="I5" s="24" t="s">
        <v>42</v>
      </c>
      <c r="J5" s="21" t="s">
        <v>43</v>
      </c>
      <c r="K5" s="22" t="s">
        <v>44</v>
      </c>
      <c r="L5" s="23" t="s">
        <v>45</v>
      </c>
      <c r="M5" s="25" t="s">
        <v>46</v>
      </c>
      <c r="N5" s="22" t="s">
        <v>47</v>
      </c>
      <c r="O5" s="24" t="s">
        <v>48</v>
      </c>
      <c r="P5" s="26" t="s">
        <v>49</v>
      </c>
      <c r="Q5" s="102" t="s">
        <v>50</v>
      </c>
      <c r="R5" s="102" t="s">
        <v>51</v>
      </c>
      <c r="S5" s="28" t="s">
        <v>52</v>
      </c>
      <c r="T5" s="26" t="s">
        <v>53</v>
      </c>
      <c r="U5" s="27" t="s">
        <v>54</v>
      </c>
      <c r="V5" s="27" t="s">
        <v>55</v>
      </c>
      <c r="W5" s="28" t="s">
        <v>56</v>
      </c>
      <c r="X5" s="26" t="s">
        <v>57</v>
      </c>
      <c r="Y5" s="27" t="s">
        <v>58</v>
      </c>
      <c r="Z5" s="27" t="s">
        <v>59</v>
      </c>
      <c r="AA5" s="29" t="s">
        <v>60</v>
      </c>
      <c r="AB5" s="3"/>
    </row>
    <row r="6" spans="1:28" ht="33" customHeight="1" thickBot="1">
      <c r="A6" s="3"/>
      <c r="B6" s="35" t="s">
        <v>61</v>
      </c>
      <c r="C6" s="33" t="s">
        <v>62</v>
      </c>
      <c r="D6" s="33" t="s">
        <v>63</v>
      </c>
      <c r="E6" s="34" t="s">
        <v>64</v>
      </c>
      <c r="F6" s="394"/>
      <c r="G6" s="395"/>
      <c r="H6" s="395"/>
      <c r="I6" s="396"/>
      <c r="J6" s="394"/>
      <c r="K6" s="395"/>
      <c r="L6" s="396"/>
      <c r="M6" s="394"/>
      <c r="N6" s="395"/>
      <c r="O6" s="396"/>
      <c r="P6" s="397"/>
      <c r="Q6" s="398"/>
      <c r="R6" s="398"/>
      <c r="S6" s="399"/>
      <c r="T6" s="397"/>
      <c r="U6" s="398"/>
      <c r="V6" s="398"/>
      <c r="W6" s="399"/>
      <c r="X6" s="397"/>
      <c r="Y6" s="398"/>
      <c r="Z6" s="398"/>
      <c r="AA6" s="400"/>
      <c r="AB6" s="3"/>
    </row>
    <row r="7" spans="1:28" s="13" customFormat="1" ht="15" customHeight="1">
      <c r="A7" s="36"/>
      <c r="B7" s="974" t="s">
        <v>65</v>
      </c>
      <c r="C7" s="401" t="s">
        <v>67</v>
      </c>
      <c r="D7" s="402" t="s">
        <v>66</v>
      </c>
      <c r="E7" s="403">
        <v>2</v>
      </c>
      <c r="F7" s="404"/>
      <c r="G7" s="405"/>
      <c r="H7" s="405"/>
      <c r="I7" s="406"/>
      <c r="J7" s="404"/>
      <c r="K7" s="405"/>
      <c r="L7" s="406"/>
      <c r="M7" s="407"/>
      <c r="N7" s="408"/>
      <c r="O7" s="409"/>
      <c r="P7" s="410"/>
      <c r="Q7" s="411"/>
      <c r="R7" s="411"/>
      <c r="S7" s="412"/>
      <c r="T7" s="413"/>
      <c r="U7" s="411"/>
      <c r="V7" s="411"/>
      <c r="W7" s="412"/>
      <c r="X7" s="410"/>
      <c r="Y7" s="411"/>
      <c r="Z7" s="411"/>
      <c r="AA7" s="414"/>
      <c r="AB7" s="36"/>
    </row>
    <row r="8" spans="1:28" s="13" customFormat="1" ht="15" customHeight="1" thickBot="1">
      <c r="A8" s="36"/>
      <c r="B8" s="975"/>
      <c r="C8" s="415" t="s">
        <v>68</v>
      </c>
      <c r="D8" s="416" t="s">
        <v>66</v>
      </c>
      <c r="E8" s="417">
        <v>2</v>
      </c>
      <c r="F8" s="418"/>
      <c r="G8" s="419"/>
      <c r="H8" s="419"/>
      <c r="I8" s="420"/>
      <c r="J8" s="418"/>
      <c r="K8" s="419"/>
      <c r="L8" s="420"/>
      <c r="M8" s="421"/>
      <c r="N8" s="422"/>
      <c r="O8" s="423"/>
      <c r="P8" s="424"/>
      <c r="Q8" s="425"/>
      <c r="R8" s="425"/>
      <c r="S8" s="426"/>
      <c r="T8" s="424"/>
      <c r="U8" s="425"/>
      <c r="V8" s="425"/>
      <c r="W8" s="426"/>
      <c r="X8" s="427"/>
      <c r="Y8" s="425"/>
      <c r="Z8" s="425"/>
      <c r="AA8" s="428"/>
      <c r="AB8" s="36"/>
    </row>
    <row r="9" spans="1:28" s="13" customFormat="1" ht="15" customHeight="1">
      <c r="A9" s="36"/>
      <c r="B9" s="974" t="s">
        <v>74</v>
      </c>
      <c r="C9" s="431" t="s">
        <v>70</v>
      </c>
      <c r="D9" s="432" t="s">
        <v>66</v>
      </c>
      <c r="E9" s="433">
        <v>2</v>
      </c>
      <c r="F9" s="434"/>
      <c r="G9" s="435"/>
      <c r="H9" s="435"/>
      <c r="I9" s="436"/>
      <c r="J9" s="434"/>
      <c r="K9" s="435"/>
      <c r="L9" s="436"/>
      <c r="M9" s="407"/>
      <c r="N9" s="408"/>
      <c r="O9" s="409"/>
      <c r="P9" s="410"/>
      <c r="Q9" s="411"/>
      <c r="R9" s="411"/>
      <c r="S9" s="412"/>
      <c r="T9" s="413"/>
      <c r="U9" s="411"/>
      <c r="V9" s="411"/>
      <c r="W9" s="412"/>
      <c r="X9" s="410"/>
      <c r="Y9" s="411"/>
      <c r="Z9" s="411"/>
      <c r="AA9" s="414"/>
      <c r="AB9" s="36"/>
    </row>
    <row r="10" spans="1:28" s="13" customFormat="1" ht="15" customHeight="1">
      <c r="A10" s="36"/>
      <c r="B10" s="976"/>
      <c r="C10" s="437" t="s">
        <v>71</v>
      </c>
      <c r="D10" s="438" t="s">
        <v>72</v>
      </c>
      <c r="E10" s="91">
        <v>2</v>
      </c>
      <c r="F10" s="53"/>
      <c r="G10" s="54"/>
      <c r="H10" s="54"/>
      <c r="I10" s="55"/>
      <c r="J10" s="53"/>
      <c r="K10" s="54"/>
      <c r="L10" s="55"/>
      <c r="M10" s="56"/>
      <c r="N10" s="57"/>
      <c r="O10" s="58"/>
      <c r="P10" s="59"/>
      <c r="Q10" s="60"/>
      <c r="R10" s="60"/>
      <c r="S10" s="61"/>
      <c r="T10" s="59"/>
      <c r="U10" s="60"/>
      <c r="V10" s="60"/>
      <c r="W10" s="61"/>
      <c r="X10" s="80"/>
      <c r="Y10" s="60"/>
      <c r="Z10" s="60"/>
      <c r="AA10" s="439"/>
      <c r="AB10" s="36"/>
    </row>
    <row r="11" spans="1:28" s="13" customFormat="1" ht="15" customHeight="1" thickBot="1">
      <c r="A11" s="36"/>
      <c r="B11" s="975"/>
      <c r="C11" s="440" t="s">
        <v>73</v>
      </c>
      <c r="D11" s="441" t="s">
        <v>72</v>
      </c>
      <c r="E11" s="442">
        <v>3</v>
      </c>
      <c r="F11" s="443"/>
      <c r="G11" s="444"/>
      <c r="H11" s="444"/>
      <c r="I11" s="445"/>
      <c r="J11" s="443"/>
      <c r="K11" s="444"/>
      <c r="L11" s="445"/>
      <c r="M11" s="446"/>
      <c r="N11" s="447"/>
      <c r="O11" s="448"/>
      <c r="P11" s="449"/>
      <c r="Q11" s="450"/>
      <c r="R11" s="450"/>
      <c r="S11" s="451"/>
      <c r="T11" s="449"/>
      <c r="U11" s="450"/>
      <c r="V11" s="450"/>
      <c r="W11" s="451"/>
      <c r="X11" s="427"/>
      <c r="Y11" s="450"/>
      <c r="Z11" s="450"/>
      <c r="AA11" s="452"/>
      <c r="AB11" s="36"/>
    </row>
    <row r="12" spans="1:28" s="13" customFormat="1" ht="15" customHeight="1">
      <c r="A12" s="36"/>
      <c r="B12" s="977" t="s">
        <v>74</v>
      </c>
      <c r="C12" s="453" t="s">
        <v>75</v>
      </c>
      <c r="D12" s="454" t="s">
        <v>76</v>
      </c>
      <c r="E12" s="455">
        <v>2</v>
      </c>
      <c r="F12" s="456"/>
      <c r="G12" s="457"/>
      <c r="H12" s="457"/>
      <c r="I12" s="458"/>
      <c r="J12" s="456"/>
      <c r="K12" s="457"/>
      <c r="L12" s="458"/>
      <c r="M12" s="459"/>
      <c r="N12" s="460"/>
      <c r="O12" s="461"/>
      <c r="P12" s="462"/>
      <c r="Q12" s="463"/>
      <c r="R12" s="463"/>
      <c r="S12" s="464"/>
      <c r="T12" s="413"/>
      <c r="U12" s="463"/>
      <c r="V12" s="463"/>
      <c r="W12" s="464"/>
      <c r="X12" s="462"/>
      <c r="Y12" s="463"/>
      <c r="Z12" s="463"/>
      <c r="AA12" s="465"/>
      <c r="AB12" s="36"/>
    </row>
    <row r="13" spans="1:28" s="13" customFormat="1" ht="15" customHeight="1">
      <c r="A13" s="36"/>
      <c r="B13" s="978"/>
      <c r="C13" s="100" t="s">
        <v>77</v>
      </c>
      <c r="D13" s="93" t="s">
        <v>72</v>
      </c>
      <c r="E13" s="94">
        <v>3</v>
      </c>
      <c r="F13" s="37"/>
      <c r="G13" s="86"/>
      <c r="H13" s="38"/>
      <c r="I13" s="39"/>
      <c r="J13" s="37"/>
      <c r="K13" s="38"/>
      <c r="L13" s="39"/>
      <c r="M13" s="40"/>
      <c r="N13" s="41"/>
      <c r="O13" s="42"/>
      <c r="P13" s="43"/>
      <c r="Q13" s="44"/>
      <c r="R13" s="44"/>
      <c r="S13" s="45"/>
      <c r="T13" s="82"/>
      <c r="U13" s="44"/>
      <c r="V13" s="44"/>
      <c r="W13" s="45"/>
      <c r="X13" s="43"/>
      <c r="Y13" s="44"/>
      <c r="Z13" s="44"/>
      <c r="AA13" s="466"/>
      <c r="AB13" s="36"/>
    </row>
    <row r="14" spans="1:28" s="13" customFormat="1" ht="15" customHeight="1">
      <c r="A14" s="36"/>
      <c r="B14" s="979"/>
      <c r="C14" s="531" t="s">
        <v>285</v>
      </c>
      <c r="D14" s="382" t="s">
        <v>66</v>
      </c>
      <c r="E14" s="383">
        <v>2</v>
      </c>
      <c r="F14" s="87"/>
      <c r="G14" s="54"/>
      <c r="H14" s="54"/>
      <c r="I14" s="55"/>
      <c r="J14" s="53"/>
      <c r="K14" s="54"/>
      <c r="L14" s="55"/>
      <c r="M14" s="56"/>
      <c r="N14" s="57"/>
      <c r="O14" s="58"/>
      <c r="P14" s="59"/>
      <c r="Q14" s="60"/>
      <c r="R14" s="60"/>
      <c r="S14" s="61"/>
      <c r="T14" s="59"/>
      <c r="U14" s="60"/>
      <c r="V14" s="60"/>
      <c r="W14" s="61"/>
      <c r="X14" s="59"/>
      <c r="Y14" s="60"/>
      <c r="Z14" s="60"/>
      <c r="AA14" s="439"/>
      <c r="AB14" s="36"/>
    </row>
    <row r="15" spans="1:28" s="13" customFormat="1" ht="15" customHeight="1" thickBot="1">
      <c r="A15" s="36"/>
      <c r="B15" s="980"/>
      <c r="C15" s="532" t="s">
        <v>78</v>
      </c>
      <c r="D15" s="533" t="s">
        <v>66</v>
      </c>
      <c r="E15" s="534">
        <v>3</v>
      </c>
      <c r="F15" s="492"/>
      <c r="G15" s="490"/>
      <c r="H15" s="490"/>
      <c r="I15" s="491"/>
      <c r="J15" s="492"/>
      <c r="K15" s="490"/>
      <c r="L15" s="491"/>
      <c r="M15" s="493"/>
      <c r="N15" s="494"/>
      <c r="O15" s="495"/>
      <c r="P15" s="496"/>
      <c r="Q15" s="497"/>
      <c r="R15" s="497"/>
      <c r="S15" s="498"/>
      <c r="T15" s="496"/>
      <c r="U15" s="497"/>
      <c r="V15" s="497"/>
      <c r="W15" s="498"/>
      <c r="X15" s="427"/>
      <c r="Y15" s="497"/>
      <c r="Z15" s="497"/>
      <c r="AA15" s="499"/>
      <c r="AB15" s="36"/>
    </row>
    <row r="16" spans="1:28" s="13" customFormat="1" ht="15" customHeight="1">
      <c r="A16" s="36"/>
      <c r="B16" s="985" t="s">
        <v>79</v>
      </c>
      <c r="C16" s="535" t="s">
        <v>229</v>
      </c>
      <c r="D16" s="98" t="s">
        <v>72</v>
      </c>
      <c r="E16" s="536">
        <v>2</v>
      </c>
      <c r="F16" s="456"/>
      <c r="G16" s="457"/>
      <c r="H16" s="457"/>
      <c r="I16" s="458"/>
      <c r="J16" s="485"/>
      <c r="K16" s="457"/>
      <c r="L16" s="458"/>
      <c r="M16" s="459"/>
      <c r="N16" s="460"/>
      <c r="O16" s="461"/>
      <c r="P16" s="462"/>
      <c r="Q16" s="463"/>
      <c r="R16" s="463"/>
      <c r="S16" s="464"/>
      <c r="T16" s="462"/>
      <c r="U16" s="463"/>
      <c r="V16" s="463"/>
      <c r="W16" s="464"/>
      <c r="X16" s="462"/>
      <c r="Y16" s="463"/>
      <c r="Z16" s="463"/>
      <c r="AA16" s="465"/>
      <c r="AB16" s="36"/>
    </row>
    <row r="17" spans="1:28" s="13" customFormat="1" ht="15" customHeight="1">
      <c r="A17" s="36"/>
      <c r="B17" s="986"/>
      <c r="C17" s="469" t="s">
        <v>80</v>
      </c>
      <c r="D17" s="477" t="s">
        <v>66</v>
      </c>
      <c r="E17" s="540">
        <v>2</v>
      </c>
      <c r="F17" s="387"/>
      <c r="G17" s="84"/>
      <c r="H17" s="385"/>
      <c r="I17" s="386"/>
      <c r="J17" s="387"/>
      <c r="K17" s="385"/>
      <c r="L17" s="386"/>
      <c r="M17" s="388"/>
      <c r="N17" s="389"/>
      <c r="O17" s="390"/>
      <c r="P17" s="384"/>
      <c r="Q17" s="391"/>
      <c r="R17" s="391"/>
      <c r="S17" s="392"/>
      <c r="T17" s="384"/>
      <c r="U17" s="391"/>
      <c r="V17" s="391"/>
      <c r="W17" s="392"/>
      <c r="X17" s="384"/>
      <c r="Y17" s="391"/>
      <c r="Z17" s="391"/>
      <c r="AA17" s="467"/>
      <c r="AB17" s="36"/>
    </row>
    <row r="18" spans="1:28" s="13" customFormat="1" ht="15" customHeight="1">
      <c r="A18" s="36"/>
      <c r="B18" s="986"/>
      <c r="C18" s="470" t="s">
        <v>82</v>
      </c>
      <c r="D18" s="470" t="s">
        <v>66</v>
      </c>
      <c r="E18" s="90">
        <v>2</v>
      </c>
      <c r="F18" s="53"/>
      <c r="G18" s="84"/>
      <c r="H18" s="54"/>
      <c r="I18" s="55"/>
      <c r="J18" s="53"/>
      <c r="K18" s="54"/>
      <c r="L18" s="55"/>
      <c r="M18" s="56"/>
      <c r="N18" s="57"/>
      <c r="O18" s="58"/>
      <c r="P18" s="59"/>
      <c r="Q18" s="60"/>
      <c r="R18" s="60"/>
      <c r="S18" s="61"/>
      <c r="T18" s="59"/>
      <c r="U18" s="60"/>
      <c r="V18" s="60"/>
      <c r="W18" s="61"/>
      <c r="X18" s="59"/>
      <c r="Y18" s="60"/>
      <c r="Z18" s="60"/>
      <c r="AA18" s="439"/>
      <c r="AB18" s="36"/>
    </row>
    <row r="19" spans="1:28" s="13" customFormat="1" ht="15" customHeight="1">
      <c r="A19" s="36"/>
      <c r="B19" s="986"/>
      <c r="C19" s="469" t="s">
        <v>83</v>
      </c>
      <c r="D19" s="469" t="s">
        <v>66</v>
      </c>
      <c r="E19" s="92">
        <v>3</v>
      </c>
      <c r="F19" s="30"/>
      <c r="G19" s="31"/>
      <c r="H19" s="31"/>
      <c r="I19" s="32"/>
      <c r="J19" s="30"/>
      <c r="K19" s="31"/>
      <c r="L19" s="32"/>
      <c r="M19" s="40"/>
      <c r="N19" s="41"/>
      <c r="O19" s="42"/>
      <c r="P19" s="43"/>
      <c r="Q19" s="44"/>
      <c r="R19" s="44"/>
      <c r="S19" s="45"/>
      <c r="T19" s="43"/>
      <c r="U19" s="44"/>
      <c r="V19" s="44"/>
      <c r="W19" s="45"/>
      <c r="X19" s="43"/>
      <c r="Y19" s="79"/>
      <c r="Z19" s="44"/>
      <c r="AA19" s="466"/>
      <c r="AB19" s="36"/>
    </row>
    <row r="20" spans="1:28" s="13" customFormat="1" ht="15" customHeight="1" thickBot="1">
      <c r="A20" s="36"/>
      <c r="B20" s="987"/>
      <c r="C20" s="537" t="s">
        <v>286</v>
      </c>
      <c r="D20" s="538" t="s">
        <v>66</v>
      </c>
      <c r="E20" s="539">
        <v>2</v>
      </c>
      <c r="F20" s="474"/>
      <c r="G20" s="475"/>
      <c r="H20" s="475"/>
      <c r="I20" s="476"/>
      <c r="J20" s="474"/>
      <c r="K20" s="475"/>
      <c r="L20" s="476"/>
      <c r="M20" s="421"/>
      <c r="N20" s="422"/>
      <c r="O20" s="423"/>
      <c r="P20" s="424"/>
      <c r="Q20" s="425"/>
      <c r="R20" s="425"/>
      <c r="S20" s="426"/>
      <c r="T20" s="424"/>
      <c r="U20" s="486"/>
      <c r="V20" s="425"/>
      <c r="W20" s="426"/>
      <c r="X20" s="424"/>
      <c r="Y20" s="425"/>
      <c r="Z20" s="425"/>
      <c r="AA20" s="428"/>
      <c r="AB20" s="36"/>
    </row>
    <row r="21" spans="1:28" s="13" customFormat="1" ht="15" customHeight="1">
      <c r="A21" s="36"/>
      <c r="B21" s="985" t="s">
        <v>85</v>
      </c>
      <c r="C21" s="541" t="s">
        <v>86</v>
      </c>
      <c r="D21" s="542" t="s">
        <v>66</v>
      </c>
      <c r="E21" s="543">
        <v>2</v>
      </c>
      <c r="F21" s="544"/>
      <c r="G21" s="487"/>
      <c r="H21" s="545"/>
      <c r="I21" s="546"/>
      <c r="J21" s="544"/>
      <c r="K21" s="545"/>
      <c r="L21" s="546"/>
      <c r="M21" s="547"/>
      <c r="N21" s="548"/>
      <c r="O21" s="549"/>
      <c r="P21" s="550"/>
      <c r="Q21" s="508"/>
      <c r="R21" s="508"/>
      <c r="S21" s="551"/>
      <c r="T21" s="550"/>
      <c r="U21" s="508"/>
      <c r="V21" s="508"/>
      <c r="W21" s="551"/>
      <c r="X21" s="550"/>
      <c r="Y21" s="508"/>
      <c r="Z21" s="508"/>
      <c r="AA21" s="552"/>
      <c r="AB21" s="36"/>
    </row>
    <row r="22" spans="1:28" s="13" customFormat="1" ht="15" customHeight="1">
      <c r="A22" s="36"/>
      <c r="B22" s="986"/>
      <c r="C22" s="470" t="s">
        <v>88</v>
      </c>
      <c r="D22" s="99" t="s">
        <v>66</v>
      </c>
      <c r="E22" s="96">
        <v>2</v>
      </c>
      <c r="F22" s="62"/>
      <c r="G22" s="63"/>
      <c r="H22" s="63"/>
      <c r="I22" s="64"/>
      <c r="J22" s="62"/>
      <c r="K22" s="76"/>
      <c r="L22" s="64"/>
      <c r="M22" s="56"/>
      <c r="N22" s="57"/>
      <c r="O22" s="58"/>
      <c r="P22" s="59"/>
      <c r="Q22" s="60"/>
      <c r="R22" s="60"/>
      <c r="S22" s="61"/>
      <c r="T22" s="59"/>
      <c r="U22" s="60"/>
      <c r="V22" s="60"/>
      <c r="W22" s="61"/>
      <c r="X22" s="59"/>
      <c r="Y22" s="60"/>
      <c r="Z22" s="60"/>
      <c r="AA22" s="439"/>
      <c r="AB22" s="36"/>
    </row>
    <row r="23" spans="1:28" s="13" customFormat="1" ht="15" customHeight="1">
      <c r="A23" s="36"/>
      <c r="B23" s="992"/>
      <c r="C23" s="477" t="s">
        <v>81</v>
      </c>
      <c r="D23" s="469" t="s">
        <v>66</v>
      </c>
      <c r="E23" s="92">
        <v>2</v>
      </c>
      <c r="F23" s="30"/>
      <c r="G23" s="84"/>
      <c r="H23" s="31"/>
      <c r="I23" s="32"/>
      <c r="J23" s="30"/>
      <c r="K23" s="31"/>
      <c r="L23" s="32"/>
      <c r="M23" s="40"/>
      <c r="N23" s="41"/>
      <c r="O23" s="42"/>
      <c r="P23" s="43"/>
      <c r="Q23" s="44"/>
      <c r="R23" s="44"/>
      <c r="S23" s="45"/>
      <c r="T23" s="43"/>
      <c r="U23" s="44"/>
      <c r="V23" s="44"/>
      <c r="W23" s="45"/>
      <c r="X23" s="43"/>
      <c r="Y23" s="44"/>
      <c r="Z23" s="44"/>
      <c r="AA23" s="466"/>
      <c r="AB23" s="36"/>
    </row>
    <row r="24" spans="1:28" s="13" customFormat="1" ht="15" customHeight="1">
      <c r="A24" s="36"/>
      <c r="B24" s="992"/>
      <c r="C24" s="99" t="s">
        <v>222</v>
      </c>
      <c r="D24" s="95" t="s">
        <v>72</v>
      </c>
      <c r="E24" s="96">
        <v>3</v>
      </c>
      <c r="F24" s="62"/>
      <c r="G24" s="63"/>
      <c r="H24" s="63"/>
      <c r="I24" s="64"/>
      <c r="J24" s="62"/>
      <c r="K24" s="63"/>
      <c r="L24" s="64"/>
      <c r="M24" s="56"/>
      <c r="N24" s="57"/>
      <c r="O24" s="58"/>
      <c r="P24" s="59"/>
      <c r="Q24" s="60"/>
      <c r="R24" s="60"/>
      <c r="S24" s="61"/>
      <c r="T24" s="59"/>
      <c r="U24" s="60"/>
      <c r="V24" s="60"/>
      <c r="W24" s="61"/>
      <c r="X24" s="80"/>
      <c r="Y24" s="60"/>
      <c r="Z24" s="60"/>
      <c r="AA24" s="439"/>
      <c r="AB24" s="36"/>
    </row>
    <row r="25" spans="1:28" s="13" customFormat="1" ht="15" customHeight="1">
      <c r="A25" s="36"/>
      <c r="B25" s="992"/>
      <c r="C25" s="637" t="s">
        <v>287</v>
      </c>
      <c r="D25" s="555" t="s">
        <v>72</v>
      </c>
      <c r="E25" s="556">
        <v>1</v>
      </c>
      <c r="F25" s="387"/>
      <c r="G25" s="385"/>
      <c r="H25" s="385"/>
      <c r="I25" s="386"/>
      <c r="J25" s="387"/>
      <c r="K25" s="385"/>
      <c r="L25" s="386"/>
      <c r="M25" s="633"/>
      <c r="N25" s="389"/>
      <c r="O25" s="390"/>
      <c r="P25" s="384"/>
      <c r="Q25" s="391"/>
      <c r="R25" s="391"/>
      <c r="S25" s="392"/>
      <c r="T25" s="384"/>
      <c r="U25" s="391"/>
      <c r="V25" s="391"/>
      <c r="W25" s="392"/>
      <c r="X25" s="384"/>
      <c r="Y25" s="391"/>
      <c r="Z25" s="391"/>
      <c r="AA25" s="467"/>
      <c r="AB25" s="36"/>
    </row>
    <row r="26" spans="1:28" s="13" customFormat="1" ht="15" customHeight="1">
      <c r="A26" s="36"/>
      <c r="B26" s="992"/>
      <c r="C26" s="637" t="s">
        <v>226</v>
      </c>
      <c r="D26" s="553" t="s">
        <v>72</v>
      </c>
      <c r="E26" s="554">
        <v>2</v>
      </c>
      <c r="F26" s="62"/>
      <c r="G26" s="63"/>
      <c r="H26" s="63"/>
      <c r="I26" s="64"/>
      <c r="J26" s="62"/>
      <c r="K26" s="63"/>
      <c r="L26" s="64"/>
      <c r="M26" s="56"/>
      <c r="N26" s="57"/>
      <c r="O26" s="58"/>
      <c r="P26" s="632"/>
      <c r="Q26" s="60"/>
      <c r="R26" s="60"/>
      <c r="S26" s="61"/>
      <c r="T26" s="59"/>
      <c r="U26" s="60"/>
      <c r="V26" s="60"/>
      <c r="W26" s="61"/>
      <c r="X26" s="59"/>
      <c r="Y26" s="60"/>
      <c r="Z26" s="60"/>
      <c r="AA26" s="439"/>
      <c r="AB26" s="36"/>
    </row>
    <row r="27" spans="1:28" s="13" customFormat="1" ht="15" customHeight="1" thickBot="1">
      <c r="A27" s="36"/>
      <c r="B27" s="987"/>
      <c r="C27" s="488" t="s">
        <v>295</v>
      </c>
      <c r="D27" s="468" t="s">
        <v>66</v>
      </c>
      <c r="E27" s="534">
        <v>2</v>
      </c>
      <c r="F27" s="489"/>
      <c r="G27" s="490"/>
      <c r="H27" s="490"/>
      <c r="I27" s="491"/>
      <c r="J27" s="492"/>
      <c r="K27" s="490"/>
      <c r="L27" s="491"/>
      <c r="M27" s="493"/>
      <c r="N27" s="494"/>
      <c r="O27" s="495"/>
      <c r="P27" s="496"/>
      <c r="Q27" s="497"/>
      <c r="R27" s="497"/>
      <c r="S27" s="498"/>
      <c r="T27" s="496"/>
      <c r="U27" s="497"/>
      <c r="V27" s="497"/>
      <c r="W27" s="498"/>
      <c r="X27" s="496"/>
      <c r="Y27" s="497"/>
      <c r="Z27" s="497"/>
      <c r="AA27" s="499"/>
      <c r="AB27" s="36"/>
    </row>
    <row r="28" spans="1:28" s="13" customFormat="1" ht="15" customHeight="1">
      <c r="A28" s="36"/>
      <c r="B28" s="985" t="s">
        <v>90</v>
      </c>
      <c r="C28" s="98" t="s">
        <v>91</v>
      </c>
      <c r="D28" s="101" t="s">
        <v>66</v>
      </c>
      <c r="E28" s="502">
        <v>3</v>
      </c>
      <c r="F28" s="503"/>
      <c r="G28" s="457"/>
      <c r="H28" s="457"/>
      <c r="I28" s="458"/>
      <c r="J28" s="456"/>
      <c r="K28" s="457"/>
      <c r="L28" s="458"/>
      <c r="M28" s="459"/>
      <c r="N28" s="460"/>
      <c r="O28" s="501"/>
      <c r="P28" s="462"/>
      <c r="Q28" s="463"/>
      <c r="R28" s="463"/>
      <c r="S28" s="464"/>
      <c r="T28" s="462"/>
      <c r="U28" s="463"/>
      <c r="V28" s="463"/>
      <c r="W28" s="464"/>
      <c r="X28" s="462"/>
      <c r="Y28" s="463"/>
      <c r="Z28" s="463"/>
      <c r="AA28" s="465"/>
      <c r="AB28" s="36"/>
    </row>
    <row r="29" spans="1:28" s="13" customFormat="1" ht="15" customHeight="1">
      <c r="A29" s="36"/>
      <c r="B29" s="991"/>
      <c r="C29" s="481" t="s">
        <v>89</v>
      </c>
      <c r="D29" s="510" t="s">
        <v>66</v>
      </c>
      <c r="E29" s="512">
        <v>2</v>
      </c>
      <c r="F29" s="46"/>
      <c r="G29" s="38"/>
      <c r="H29" s="38"/>
      <c r="I29" s="39"/>
      <c r="J29" s="37"/>
      <c r="K29" s="38"/>
      <c r="L29" s="39"/>
      <c r="M29" s="40"/>
      <c r="N29" s="77"/>
      <c r="O29" s="42"/>
      <c r="P29" s="43"/>
      <c r="Q29" s="44"/>
      <c r="R29" s="44"/>
      <c r="S29" s="45"/>
      <c r="T29" s="43"/>
      <c r="U29" s="44"/>
      <c r="V29" s="44"/>
      <c r="W29" s="45"/>
      <c r="X29" s="43"/>
      <c r="Y29" s="44"/>
      <c r="Z29" s="44"/>
      <c r="AA29" s="466"/>
      <c r="AB29" s="36"/>
    </row>
    <row r="30" spans="1:28" s="13" customFormat="1" ht="15" customHeight="1">
      <c r="A30" s="36"/>
      <c r="B30" s="986"/>
      <c r="C30" s="470" t="s">
        <v>87</v>
      </c>
      <c r="D30" s="557" t="s">
        <v>72</v>
      </c>
      <c r="E30" s="513">
        <v>3</v>
      </c>
      <c r="F30" s="511"/>
      <c r="G30" s="54"/>
      <c r="H30" s="54"/>
      <c r="I30" s="55"/>
      <c r="J30" s="53"/>
      <c r="K30" s="54"/>
      <c r="L30" s="55"/>
      <c r="M30" s="56"/>
      <c r="N30" s="57"/>
      <c r="O30" s="58"/>
      <c r="P30" s="59"/>
      <c r="Q30" s="60"/>
      <c r="R30" s="60"/>
      <c r="S30" s="61"/>
      <c r="T30" s="59"/>
      <c r="U30" s="81"/>
      <c r="V30" s="60"/>
      <c r="W30" s="61"/>
      <c r="X30" s="59"/>
      <c r="Y30" s="60"/>
      <c r="Z30" s="60"/>
      <c r="AA30" s="439"/>
      <c r="AB30" s="36"/>
    </row>
    <row r="31" spans="1:28" s="13" customFormat="1" ht="15" customHeight="1">
      <c r="A31" s="36"/>
      <c r="B31" s="986"/>
      <c r="C31" s="477" t="s">
        <v>223</v>
      </c>
      <c r="D31" s="558" t="s">
        <v>72</v>
      </c>
      <c r="E31" s="559">
        <v>3</v>
      </c>
      <c r="F31" s="560"/>
      <c r="G31" s="385"/>
      <c r="H31" s="385"/>
      <c r="I31" s="386"/>
      <c r="J31" s="387"/>
      <c r="K31" s="385"/>
      <c r="L31" s="386"/>
      <c r="M31" s="388"/>
      <c r="N31" s="77"/>
      <c r="O31" s="390"/>
      <c r="P31" s="384"/>
      <c r="Q31" s="391"/>
      <c r="R31" s="391"/>
      <c r="S31" s="392"/>
      <c r="T31" s="384"/>
      <c r="U31" s="391"/>
      <c r="V31" s="391"/>
      <c r="W31" s="392"/>
      <c r="X31" s="384"/>
      <c r="Y31" s="391"/>
      <c r="Z31" s="391"/>
      <c r="AA31" s="467"/>
      <c r="AB31" s="36" t="s">
        <v>84</v>
      </c>
    </row>
    <row r="32" spans="1:28" s="13" customFormat="1" ht="15" customHeight="1">
      <c r="A32" s="36"/>
      <c r="B32" s="986"/>
      <c r="C32" s="470" t="s">
        <v>289</v>
      </c>
      <c r="D32" s="483" t="s">
        <v>72</v>
      </c>
      <c r="E32" s="484">
        <v>2</v>
      </c>
      <c r="F32" s="65"/>
      <c r="G32" s="63"/>
      <c r="H32" s="63"/>
      <c r="I32" s="64"/>
      <c r="J32" s="62"/>
      <c r="K32" s="63"/>
      <c r="L32" s="76"/>
      <c r="M32" s="56"/>
      <c r="N32" s="57"/>
      <c r="O32" s="58"/>
      <c r="P32" s="59"/>
      <c r="Q32" s="60"/>
      <c r="R32" s="60"/>
      <c r="S32" s="61"/>
      <c r="T32" s="59"/>
      <c r="U32" s="60"/>
      <c r="V32" s="60"/>
      <c r="W32" s="61"/>
      <c r="X32" s="59"/>
      <c r="Y32" s="60"/>
      <c r="Z32" s="60"/>
      <c r="AA32" s="439"/>
      <c r="AB32" s="36"/>
    </row>
    <row r="33" spans="1:28" s="13" customFormat="1" ht="15" customHeight="1" thickBot="1">
      <c r="A33" s="36"/>
      <c r="B33" s="986"/>
      <c r="C33" s="469" t="s">
        <v>93</v>
      </c>
      <c r="D33" s="479" t="s">
        <v>72</v>
      </c>
      <c r="E33" s="514">
        <v>3</v>
      </c>
      <c r="F33" s="46"/>
      <c r="G33" s="38"/>
      <c r="H33" s="38"/>
      <c r="I33" s="39"/>
      <c r="J33" s="37"/>
      <c r="K33" s="38"/>
      <c r="L33" s="39"/>
      <c r="M33" s="40"/>
      <c r="N33" s="41"/>
      <c r="O33" s="78"/>
      <c r="P33" s="43"/>
      <c r="Q33" s="44"/>
      <c r="R33" s="44"/>
      <c r="S33" s="45"/>
      <c r="T33" s="43"/>
      <c r="U33" s="44"/>
      <c r="V33" s="44"/>
      <c r="W33" s="45"/>
      <c r="X33" s="515"/>
      <c r="Y33" s="516"/>
      <c r="Z33" s="516"/>
      <c r="AA33" s="521"/>
      <c r="AB33" s="36"/>
    </row>
    <row r="34" spans="1:28" s="13" customFormat="1" ht="15" customHeight="1">
      <c r="A34" s="36"/>
      <c r="B34" s="985" t="s">
        <v>143</v>
      </c>
      <c r="C34" s="101" t="s">
        <v>296</v>
      </c>
      <c r="D34" s="97" t="s">
        <v>72</v>
      </c>
      <c r="E34" s="502">
        <v>2</v>
      </c>
      <c r="F34" s="503"/>
      <c r="G34" s="457"/>
      <c r="H34" s="457"/>
      <c r="I34" s="458"/>
      <c r="J34" s="456"/>
      <c r="K34" s="504"/>
      <c r="L34" s="458"/>
      <c r="M34" s="459"/>
      <c r="N34" s="460"/>
      <c r="O34" s="461"/>
      <c r="P34" s="462"/>
      <c r="Q34" s="463"/>
      <c r="R34" s="463"/>
      <c r="S34" s="464"/>
      <c r="T34" s="462"/>
      <c r="U34" s="463"/>
      <c r="V34" s="463"/>
      <c r="W34" s="464"/>
      <c r="X34" s="522"/>
      <c r="Y34" s="523"/>
      <c r="Z34" s="523"/>
      <c r="AA34" s="524"/>
      <c r="AB34" s="36"/>
    </row>
    <row r="35" spans="1:28" s="13" customFormat="1" ht="15" customHeight="1">
      <c r="A35" s="36"/>
      <c r="B35" s="986"/>
      <c r="C35" s="479" t="s">
        <v>96</v>
      </c>
      <c r="D35" s="478" t="s">
        <v>72</v>
      </c>
      <c r="E35" s="480">
        <v>3</v>
      </c>
      <c r="F35" s="46"/>
      <c r="G35" s="38"/>
      <c r="H35" s="38"/>
      <c r="I35" s="39"/>
      <c r="J35" s="37"/>
      <c r="K35" s="38"/>
      <c r="L35" s="39"/>
      <c r="M35" s="40"/>
      <c r="N35" s="41"/>
      <c r="O35" s="42"/>
      <c r="P35" s="43"/>
      <c r="Q35" s="44"/>
      <c r="R35" s="44"/>
      <c r="S35" s="45"/>
      <c r="T35" s="43"/>
      <c r="U35" s="44"/>
      <c r="V35" s="44"/>
      <c r="W35" s="45"/>
      <c r="X35" s="525"/>
      <c r="Y35" s="520"/>
      <c r="Z35" s="519"/>
      <c r="AA35" s="526"/>
      <c r="AB35" s="36"/>
    </row>
    <row r="36" spans="1:28" s="13" customFormat="1" ht="15" customHeight="1">
      <c r="A36" s="36"/>
      <c r="B36" s="986"/>
      <c r="C36" s="483" t="s">
        <v>97</v>
      </c>
      <c r="D36" s="482" t="s">
        <v>72</v>
      </c>
      <c r="E36" s="484">
        <v>3</v>
      </c>
      <c r="F36" s="67"/>
      <c r="G36" s="68"/>
      <c r="H36" s="85"/>
      <c r="I36" s="69"/>
      <c r="J36" s="70"/>
      <c r="K36" s="68"/>
      <c r="L36" s="76"/>
      <c r="M36" s="71"/>
      <c r="N36" s="72"/>
      <c r="O36" s="73"/>
      <c r="P36" s="59"/>
      <c r="Q36" s="60"/>
      <c r="R36" s="60"/>
      <c r="S36" s="61"/>
      <c r="T36" s="59"/>
      <c r="U36" s="60"/>
      <c r="V36" s="60"/>
      <c r="W36" s="61"/>
      <c r="X36" s="527"/>
      <c r="Y36" s="518"/>
      <c r="Z36" s="518"/>
      <c r="AA36" s="528"/>
      <c r="AB36" s="36"/>
    </row>
    <row r="37" spans="1:28" s="13" customFormat="1" ht="15" customHeight="1">
      <c r="A37" s="36"/>
      <c r="B37" s="986"/>
      <c r="C37" s="509" t="s">
        <v>235</v>
      </c>
      <c r="D37" s="561" t="s">
        <v>66</v>
      </c>
      <c r="E37" s="559">
        <v>2</v>
      </c>
      <c r="F37" s="577"/>
      <c r="G37" s="578"/>
      <c r="H37" s="85"/>
      <c r="I37" s="579"/>
      <c r="J37" s="580"/>
      <c r="K37" s="578"/>
      <c r="L37" s="386"/>
      <c r="M37" s="581"/>
      <c r="N37" s="582"/>
      <c r="O37" s="583"/>
      <c r="P37" s="384"/>
      <c r="Q37" s="391"/>
      <c r="R37" s="391"/>
      <c r="S37" s="392"/>
      <c r="T37" s="384"/>
      <c r="U37" s="391"/>
      <c r="V37" s="391"/>
      <c r="W37" s="392"/>
      <c r="X37" s="584"/>
      <c r="Y37" s="585"/>
      <c r="Z37" s="585"/>
      <c r="AA37" s="586"/>
      <c r="AB37" s="36"/>
    </row>
    <row r="38" spans="1:28" s="13" customFormat="1" ht="15" customHeight="1">
      <c r="A38" s="36"/>
      <c r="B38" s="986"/>
      <c r="C38" s="483" t="s">
        <v>98</v>
      </c>
      <c r="D38" s="482" t="s">
        <v>72</v>
      </c>
      <c r="E38" s="484">
        <v>3</v>
      </c>
      <c r="F38" s="511"/>
      <c r="G38" s="54"/>
      <c r="H38" s="63"/>
      <c r="I38" s="55"/>
      <c r="J38" s="53"/>
      <c r="K38" s="54"/>
      <c r="L38" s="55"/>
      <c r="M38" s="56"/>
      <c r="N38" s="57"/>
      <c r="O38" s="78"/>
      <c r="P38" s="59"/>
      <c r="Q38" s="60"/>
      <c r="R38" s="60"/>
      <c r="S38" s="61"/>
      <c r="T38" s="59"/>
      <c r="U38" s="60"/>
      <c r="V38" s="60"/>
      <c r="W38" s="61"/>
      <c r="X38" s="527"/>
      <c r="Y38" s="518"/>
      <c r="Z38" s="518"/>
      <c r="AA38" s="528"/>
      <c r="AB38" s="36"/>
    </row>
    <row r="39" spans="1:28" s="13" customFormat="1" ht="15" customHeight="1" thickBot="1">
      <c r="A39" s="36"/>
      <c r="B39" s="992"/>
      <c r="C39" s="562" t="s">
        <v>99</v>
      </c>
      <c r="D39" s="563" t="s">
        <v>72</v>
      </c>
      <c r="E39" s="564">
        <v>2</v>
      </c>
      <c r="F39" s="565"/>
      <c r="G39" s="566"/>
      <c r="H39" s="566"/>
      <c r="I39" s="567"/>
      <c r="J39" s="568"/>
      <c r="K39" s="566"/>
      <c r="L39" s="567"/>
      <c r="M39" s="569"/>
      <c r="N39" s="570"/>
      <c r="O39" s="505"/>
      <c r="P39" s="571"/>
      <c r="Q39" s="572"/>
      <c r="R39" s="572"/>
      <c r="S39" s="573"/>
      <c r="T39" s="571"/>
      <c r="U39" s="572"/>
      <c r="V39" s="572"/>
      <c r="W39" s="573"/>
      <c r="X39" s="574"/>
      <c r="Y39" s="575"/>
      <c r="Z39" s="575"/>
      <c r="AA39" s="576"/>
      <c r="AB39" s="36"/>
    </row>
    <row r="40" spans="1:28" s="13" customFormat="1" ht="15" customHeight="1">
      <c r="A40" s="36"/>
      <c r="B40" s="985" t="s">
        <v>100</v>
      </c>
      <c r="C40" s="636" t="s">
        <v>291</v>
      </c>
      <c r="D40" s="595" t="s">
        <v>72</v>
      </c>
      <c r="E40" s="587">
        <v>2</v>
      </c>
      <c r="F40" s="588"/>
      <c r="G40" s="589"/>
      <c r="H40" s="589"/>
      <c r="I40" s="590"/>
      <c r="J40" s="588"/>
      <c r="K40" s="589"/>
      <c r="L40" s="590"/>
      <c r="M40" s="591"/>
      <c r="N40" s="592"/>
      <c r="O40" s="593"/>
      <c r="P40" s="462"/>
      <c r="Q40" s="463"/>
      <c r="R40" s="634"/>
      <c r="S40" s="464"/>
      <c r="T40" s="462"/>
      <c r="U40" s="463"/>
      <c r="V40" s="463"/>
      <c r="W40" s="464"/>
      <c r="X40" s="429"/>
      <c r="Y40" s="430"/>
      <c r="Z40" s="430"/>
      <c r="AA40" s="594"/>
      <c r="AB40" s="36"/>
    </row>
    <row r="41" spans="1:28" s="13" customFormat="1" ht="15" customHeight="1">
      <c r="A41" s="36"/>
      <c r="B41" s="991"/>
      <c r="C41" s="637" t="s">
        <v>292</v>
      </c>
      <c r="D41" s="330" t="s">
        <v>72</v>
      </c>
      <c r="E41" s="556">
        <v>2</v>
      </c>
      <c r="F41" s="49"/>
      <c r="G41" s="47"/>
      <c r="H41" s="47"/>
      <c r="I41" s="48"/>
      <c r="J41" s="49"/>
      <c r="K41" s="47"/>
      <c r="L41" s="48"/>
      <c r="M41" s="50"/>
      <c r="N41" s="51"/>
      <c r="O41" s="52"/>
      <c r="P41" s="43"/>
      <c r="Q41" s="44"/>
      <c r="R41" s="44"/>
      <c r="S41" s="45"/>
      <c r="T41" s="43"/>
      <c r="U41" s="44"/>
      <c r="V41" s="81"/>
      <c r="W41" s="45"/>
      <c r="X41" s="43"/>
      <c r="Y41" s="44"/>
      <c r="Z41" s="391"/>
      <c r="AA41" s="466"/>
      <c r="AB41" s="36"/>
    </row>
    <row r="42" spans="1:28" s="13" customFormat="1" ht="15" customHeight="1">
      <c r="A42" s="36"/>
      <c r="B42" s="991"/>
      <c r="C42" s="637" t="s">
        <v>293</v>
      </c>
      <c r="D42" s="553" t="s">
        <v>72</v>
      </c>
      <c r="E42" s="554">
        <v>3</v>
      </c>
      <c r="F42" s="105"/>
      <c r="G42" s="106"/>
      <c r="H42" s="106"/>
      <c r="I42" s="107"/>
      <c r="J42" s="105"/>
      <c r="K42" s="106"/>
      <c r="L42" s="107"/>
      <c r="M42" s="71"/>
      <c r="N42" s="72"/>
      <c r="O42" s="635"/>
      <c r="P42" s="59"/>
      <c r="Q42" s="60"/>
      <c r="R42" s="60"/>
      <c r="S42" s="61"/>
      <c r="T42" s="59"/>
      <c r="U42" s="60"/>
      <c r="V42" s="60"/>
      <c r="W42" s="61"/>
      <c r="X42" s="59"/>
      <c r="Y42" s="506"/>
      <c r="Z42" s="60"/>
      <c r="AA42" s="439"/>
      <c r="AB42" s="36"/>
    </row>
    <row r="43" spans="1:28" s="13" customFormat="1" ht="15" customHeight="1">
      <c r="A43" s="36"/>
      <c r="B43" s="991"/>
      <c r="C43" s="393" t="s">
        <v>94</v>
      </c>
      <c r="D43" s="330" t="s">
        <v>72</v>
      </c>
      <c r="E43" s="556">
        <v>3</v>
      </c>
      <c r="F43" s="49"/>
      <c r="G43" s="47"/>
      <c r="H43" s="47"/>
      <c r="I43" s="48"/>
      <c r="J43" s="49"/>
      <c r="K43" s="47"/>
      <c r="L43" s="48"/>
      <c r="M43" s="50"/>
      <c r="N43" s="51"/>
      <c r="O43" s="52"/>
      <c r="P43" s="43"/>
      <c r="Q43" s="44"/>
      <c r="R43" s="44"/>
      <c r="S43" s="45"/>
      <c r="T43" s="43"/>
      <c r="U43" s="44"/>
      <c r="V43" s="391"/>
      <c r="W43" s="45"/>
      <c r="X43" s="529"/>
      <c r="Y43" s="519"/>
      <c r="Z43" s="530"/>
      <c r="AA43" s="466"/>
      <c r="AB43" s="36"/>
    </row>
    <row r="44" spans="1:28" s="13" customFormat="1" ht="15" customHeight="1">
      <c r="A44" s="36"/>
      <c r="B44" s="991"/>
      <c r="C44" s="531" t="s">
        <v>236</v>
      </c>
      <c r="D44" s="553" t="s">
        <v>72</v>
      </c>
      <c r="E44" s="554">
        <v>2</v>
      </c>
      <c r="F44" s="105"/>
      <c r="G44" s="106"/>
      <c r="H44" s="106"/>
      <c r="I44" s="596"/>
      <c r="J44" s="105"/>
      <c r="K44" s="106"/>
      <c r="L44" s="107"/>
      <c r="M44" s="71"/>
      <c r="N44" s="72"/>
      <c r="O44" s="73"/>
      <c r="P44" s="59"/>
      <c r="Q44" s="60"/>
      <c r="R44" s="60"/>
      <c r="S44" s="61"/>
      <c r="T44" s="59"/>
      <c r="U44" s="60"/>
      <c r="V44" s="60"/>
      <c r="W44" s="61"/>
      <c r="X44" s="59"/>
      <c r="Y44" s="430"/>
      <c r="Z44" s="60"/>
      <c r="AA44" s="439"/>
      <c r="AB44" s="36"/>
    </row>
    <row r="45" spans="1:28" s="13" customFormat="1" ht="15" customHeight="1">
      <c r="A45" s="36"/>
      <c r="B45" s="991"/>
      <c r="C45" s="393" t="s">
        <v>95</v>
      </c>
      <c r="D45" s="330" t="s">
        <v>72</v>
      </c>
      <c r="E45" s="556">
        <v>3</v>
      </c>
      <c r="F45" s="49"/>
      <c r="G45" s="47"/>
      <c r="H45" s="47"/>
      <c r="I45" s="48"/>
      <c r="J45" s="49"/>
      <c r="K45" s="47"/>
      <c r="L45" s="76"/>
      <c r="M45" s="50"/>
      <c r="N45" s="51"/>
      <c r="O45" s="52"/>
      <c r="P45" s="43"/>
      <c r="Q45" s="44"/>
      <c r="R45" s="44"/>
      <c r="S45" s="45"/>
      <c r="T45" s="43"/>
      <c r="U45" s="44"/>
      <c r="V45" s="391"/>
      <c r="W45" s="45"/>
      <c r="X45" s="43"/>
      <c r="Y45" s="44"/>
      <c r="Z45" s="391"/>
      <c r="AA45" s="466"/>
      <c r="AB45" s="36"/>
    </row>
    <row r="46" spans="1:28" s="13" customFormat="1" ht="15" customHeight="1" thickBot="1">
      <c r="A46" s="36"/>
      <c r="B46" s="987"/>
      <c r="C46" s="471" t="s">
        <v>102</v>
      </c>
      <c r="D46" s="472" t="s">
        <v>66</v>
      </c>
      <c r="E46" s="473">
        <v>3</v>
      </c>
      <c r="F46" s="418"/>
      <c r="G46" s="419"/>
      <c r="H46" s="419"/>
      <c r="I46" s="507"/>
      <c r="J46" s="418"/>
      <c r="K46" s="419"/>
      <c r="L46" s="420"/>
      <c r="M46" s="421"/>
      <c r="N46" s="422"/>
      <c r="O46" s="423"/>
      <c r="P46" s="424"/>
      <c r="Q46" s="425"/>
      <c r="R46" s="425"/>
      <c r="S46" s="426"/>
      <c r="T46" s="424"/>
      <c r="U46" s="425"/>
      <c r="V46" s="425"/>
      <c r="W46" s="426"/>
      <c r="X46" s="424"/>
      <c r="Y46" s="425"/>
      <c r="Z46" s="425"/>
      <c r="AA46" s="428"/>
      <c r="AB46" s="36"/>
    </row>
    <row r="47" spans="1:28" s="13" customFormat="1" ht="15" customHeight="1">
      <c r="A47" s="36"/>
      <c r="B47" s="125" t="s">
        <v>103</v>
      </c>
      <c r="C47" s="597" t="s">
        <v>104</v>
      </c>
      <c r="D47" s="598" t="s">
        <v>101</v>
      </c>
      <c r="E47" s="599">
        <v>7</v>
      </c>
      <c r="F47" s="600"/>
      <c r="G47" s="601"/>
      <c r="H47" s="601"/>
      <c r="I47" s="602"/>
      <c r="J47" s="600"/>
      <c r="K47" s="601"/>
      <c r="L47" s="602"/>
      <c r="M47" s="603"/>
      <c r="N47" s="604"/>
      <c r="O47" s="605"/>
      <c r="P47" s="606"/>
      <c r="Q47" s="517"/>
      <c r="R47" s="517"/>
      <c r="S47" s="607"/>
      <c r="T47" s="606"/>
      <c r="U47" s="517"/>
      <c r="V47" s="517"/>
      <c r="W47" s="607"/>
      <c r="X47" s="606"/>
      <c r="Y47" s="517"/>
      <c r="Z47" s="517"/>
      <c r="AA47" s="500"/>
      <c r="AB47" s="36"/>
    </row>
    <row r="48" spans="1:28" s="13" customFormat="1" ht="18.5">
      <c r="A48" s="36"/>
      <c r="B48" s="981" t="s">
        <v>105</v>
      </c>
      <c r="C48" s="981"/>
      <c r="D48" s="981"/>
      <c r="E48" s="981"/>
      <c r="F48" s="981"/>
      <c r="G48" s="981"/>
      <c r="H48" s="981"/>
      <c r="I48" s="981"/>
      <c r="J48" s="981"/>
      <c r="K48" s="981"/>
      <c r="L48" s="66"/>
      <c r="M48" s="111"/>
      <c r="N48" s="112" t="s">
        <v>106</v>
      </c>
      <c r="O48" s="112"/>
      <c r="P48" s="36"/>
      <c r="Q48" s="36"/>
      <c r="R48" s="36"/>
      <c r="S48" s="36"/>
      <c r="T48" s="36"/>
      <c r="U48" s="36"/>
      <c r="V48" s="36"/>
      <c r="W48" s="36"/>
      <c r="X48" s="36"/>
      <c r="Y48" s="36"/>
      <c r="Z48" s="36"/>
      <c r="AA48" s="36"/>
    </row>
    <row r="49" spans="1:47" ht="18.5">
      <c r="A49" s="3"/>
      <c r="B49" s="981"/>
      <c r="C49" s="981"/>
      <c r="D49" s="981"/>
      <c r="E49" s="981"/>
      <c r="F49" s="981"/>
      <c r="G49" s="981"/>
      <c r="H49" s="981"/>
      <c r="I49" s="981"/>
      <c r="J49" s="981"/>
      <c r="K49" s="981"/>
      <c r="L49" s="11"/>
      <c r="M49" s="113"/>
      <c r="N49" s="114" t="s">
        <v>107</v>
      </c>
      <c r="O49" s="114"/>
      <c r="P49" s="3"/>
      <c r="Q49" s="3"/>
      <c r="R49" s="3"/>
      <c r="S49" s="3"/>
      <c r="T49" s="3"/>
    </row>
    <row r="50" spans="1:47" ht="18.5">
      <c r="A50" s="3"/>
      <c r="B50" s="988" t="s">
        <v>108</v>
      </c>
      <c r="C50" s="988"/>
      <c r="D50" s="989"/>
      <c r="E50" s="989"/>
      <c r="F50" s="989"/>
      <c r="G50" s="989"/>
      <c r="H50" s="989"/>
      <c r="I50" s="989"/>
      <c r="J50" s="989"/>
      <c r="K50" s="989"/>
      <c r="L50" s="11"/>
      <c r="M50" s="115"/>
      <c r="N50" s="114" t="s">
        <v>109</v>
      </c>
      <c r="O50" s="114"/>
      <c r="P50" s="3"/>
    </row>
    <row r="51" spans="1:47" ht="18.5">
      <c r="A51" s="3"/>
      <c r="B51" s="990" t="s">
        <v>110</v>
      </c>
      <c r="C51" s="990"/>
      <c r="D51" s="989"/>
      <c r="E51" s="989"/>
      <c r="F51" s="989"/>
      <c r="G51" s="989"/>
      <c r="H51" s="989"/>
      <c r="I51" s="989"/>
      <c r="J51" s="989"/>
      <c r="K51" s="989"/>
      <c r="L51" s="11"/>
      <c r="M51" s="116"/>
      <c r="N51" s="114" t="s">
        <v>111</v>
      </c>
      <c r="O51" s="114"/>
      <c r="P51" s="3"/>
    </row>
    <row r="52" spans="1:47" ht="18.5">
      <c r="A52" s="3"/>
      <c r="B52" s="990" t="s">
        <v>112</v>
      </c>
      <c r="C52" s="990"/>
      <c r="D52" s="989"/>
      <c r="E52" s="989"/>
      <c r="F52" s="989"/>
      <c r="G52" s="989"/>
      <c r="H52" s="989"/>
      <c r="I52" s="989"/>
      <c r="J52" s="989"/>
      <c r="K52" s="989"/>
      <c r="L52" s="11"/>
      <c r="M52" s="117"/>
      <c r="N52" s="114" t="s">
        <v>113</v>
      </c>
      <c r="O52" s="114"/>
      <c r="P52" s="3"/>
    </row>
    <row r="53" spans="1:47" ht="18.5">
      <c r="A53" s="3"/>
      <c r="B53" s="982" t="s">
        <v>114</v>
      </c>
      <c r="C53" s="983"/>
      <c r="D53" s="983"/>
      <c r="E53" s="983"/>
      <c r="F53" s="983"/>
      <c r="G53" s="983"/>
      <c r="H53" s="983"/>
      <c r="I53" s="983"/>
      <c r="J53" s="983"/>
      <c r="K53" s="984"/>
      <c r="L53" s="11"/>
      <c r="M53" s="118"/>
      <c r="N53" s="114" t="s">
        <v>115</v>
      </c>
      <c r="O53" s="114"/>
      <c r="P53" s="3"/>
    </row>
    <row r="54" spans="1:47" ht="14">
      <c r="B54" s="109"/>
      <c r="C54" s="12"/>
      <c r="D54" s="12"/>
      <c r="E54" s="110"/>
      <c r="F54" s="12"/>
      <c r="G54" s="12"/>
      <c r="H54" s="12"/>
      <c r="I54" s="12"/>
      <c r="J54" s="12"/>
      <c r="K54" s="12"/>
      <c r="L54" s="2"/>
      <c r="M54" s="12"/>
      <c r="N54" s="12"/>
      <c r="O54" s="12"/>
    </row>
    <row r="55" spans="1:47" ht="12.75" customHeight="1">
      <c r="B55" s="3"/>
      <c r="C55" s="951" t="s">
        <v>116</v>
      </c>
      <c r="D55" s="952"/>
      <c r="E55" s="952"/>
      <c r="F55" s="952"/>
      <c r="G55" s="952"/>
      <c r="H55" s="952"/>
      <c r="I55" s="952"/>
      <c r="J55" s="952"/>
      <c r="K55" s="952"/>
      <c r="L55" s="952"/>
      <c r="M55" s="952"/>
      <c r="N55" s="952"/>
      <c r="O55" s="952"/>
      <c r="P55" s="952"/>
      <c r="Q55" s="952"/>
      <c r="R55" s="952"/>
      <c r="S55" s="953"/>
      <c r="V55" s="325"/>
      <c r="W55" t="s">
        <v>136</v>
      </c>
    </row>
    <row r="56" spans="1:47" ht="12.75" customHeight="1">
      <c r="B56" s="3"/>
      <c r="C56" s="954"/>
      <c r="D56" s="955"/>
      <c r="E56" s="955"/>
      <c r="F56" s="955"/>
      <c r="G56" s="955"/>
      <c r="H56" s="955"/>
      <c r="I56" s="955"/>
      <c r="J56" s="955"/>
      <c r="K56" s="955"/>
      <c r="L56" s="955"/>
      <c r="M56" s="955"/>
      <c r="N56" s="955"/>
      <c r="O56" s="955"/>
      <c r="P56" s="955"/>
      <c r="Q56" s="955"/>
      <c r="R56" s="955"/>
      <c r="S56" s="956"/>
      <c r="V56" s="326"/>
      <c r="W56" t="s">
        <v>137</v>
      </c>
    </row>
    <row r="57" spans="1:47" ht="12.75" customHeight="1" thickBot="1">
      <c r="B57" s="3"/>
      <c r="C57" s="957"/>
      <c r="D57" s="958"/>
      <c r="E57" s="958"/>
      <c r="F57" s="958"/>
      <c r="G57" s="958"/>
      <c r="H57" s="958"/>
      <c r="I57" s="958"/>
      <c r="J57" s="958"/>
      <c r="K57" s="958"/>
      <c r="L57" s="958"/>
      <c r="M57" s="958"/>
      <c r="N57" s="958"/>
      <c r="O57" s="958"/>
      <c r="P57" s="958"/>
      <c r="Q57" s="958"/>
      <c r="R57" s="958"/>
      <c r="S57" s="959"/>
      <c r="V57" s="327"/>
      <c r="W57" s="328" t="s">
        <v>138</v>
      </c>
      <c r="AU57" s="3"/>
    </row>
    <row r="58" spans="1:47" ht="12.75" customHeight="1">
      <c r="B58" s="3"/>
      <c r="C58" s="960" t="s">
        <v>118</v>
      </c>
      <c r="D58" s="961"/>
      <c r="E58" s="948"/>
      <c r="F58" s="964" t="s">
        <v>119</v>
      </c>
      <c r="G58" s="965"/>
      <c r="H58" s="965"/>
      <c r="I58" s="968" t="s">
        <v>120</v>
      </c>
      <c r="J58" s="965"/>
      <c r="K58" s="965"/>
      <c r="L58" s="964" t="s">
        <v>121</v>
      </c>
      <c r="M58" s="965"/>
      <c r="N58" s="965"/>
      <c r="O58" s="969"/>
      <c r="P58" s="971" t="s">
        <v>284</v>
      </c>
      <c r="Q58" s="965"/>
      <c r="R58" s="965"/>
      <c r="S58" s="969"/>
      <c r="V58" s="329"/>
      <c r="W58" s="328" t="s">
        <v>139</v>
      </c>
      <c r="AU58" s="3"/>
    </row>
    <row r="59" spans="1:47" ht="20.25" customHeight="1" thickBot="1">
      <c r="B59" s="3"/>
      <c r="C59" s="962"/>
      <c r="D59" s="963"/>
      <c r="E59" s="963"/>
      <c r="F59" s="966"/>
      <c r="G59" s="967"/>
      <c r="H59" s="967"/>
      <c r="I59" s="966"/>
      <c r="J59" s="967"/>
      <c r="K59" s="967"/>
      <c r="L59" s="966"/>
      <c r="M59" s="967"/>
      <c r="N59" s="967"/>
      <c r="O59" s="970"/>
      <c r="P59" s="967"/>
      <c r="Q59" s="967"/>
      <c r="R59" s="967"/>
      <c r="S59" s="970"/>
      <c r="AU59" s="3"/>
    </row>
    <row r="60" spans="1:47" ht="67.5" customHeight="1" thickBot="1">
      <c r="B60" s="3"/>
      <c r="C60" s="946" t="s">
        <v>2</v>
      </c>
      <c r="D60" s="947"/>
      <c r="E60" s="948"/>
      <c r="F60" s="357" t="s">
        <v>122</v>
      </c>
      <c r="G60" s="358" t="s">
        <v>123</v>
      </c>
      <c r="H60" s="359" t="s">
        <v>124</v>
      </c>
      <c r="I60" s="360" t="s">
        <v>125</v>
      </c>
      <c r="J60" s="361" t="s">
        <v>126</v>
      </c>
      <c r="K60" s="362" t="s">
        <v>127</v>
      </c>
      <c r="L60" s="357" t="s">
        <v>128</v>
      </c>
      <c r="M60" s="358" t="s">
        <v>129</v>
      </c>
      <c r="N60" s="358" t="s">
        <v>130</v>
      </c>
      <c r="O60" s="359" t="s">
        <v>131</v>
      </c>
      <c r="P60" s="357" t="s">
        <v>132</v>
      </c>
      <c r="Q60" s="358" t="s">
        <v>133</v>
      </c>
      <c r="R60" s="358" t="s">
        <v>134</v>
      </c>
      <c r="S60" s="363" t="s">
        <v>135</v>
      </c>
      <c r="AU60" s="3"/>
    </row>
    <row r="61" spans="1:47" ht="62.25" customHeight="1">
      <c r="B61" s="364" t="s">
        <v>117</v>
      </c>
      <c r="C61" s="365" t="s">
        <v>62</v>
      </c>
      <c r="D61" s="366" t="s">
        <v>63</v>
      </c>
      <c r="E61" s="366" t="s">
        <v>64</v>
      </c>
      <c r="F61" s="367"/>
      <c r="G61" s="368"/>
      <c r="H61" s="368"/>
      <c r="I61" s="368"/>
      <c r="J61" s="368"/>
      <c r="K61" s="368"/>
      <c r="L61" s="368"/>
      <c r="M61" s="368"/>
      <c r="N61" s="368"/>
      <c r="O61" s="368"/>
      <c r="P61" s="368"/>
      <c r="Q61" s="368"/>
      <c r="R61" s="368"/>
      <c r="S61" s="369"/>
      <c r="AU61" s="3"/>
    </row>
    <row r="62" spans="1:47" ht="17.25" hidden="1" customHeight="1">
      <c r="B62" s="949" t="s">
        <v>65</v>
      </c>
      <c r="C62" s="331" t="s">
        <v>67</v>
      </c>
      <c r="D62" s="332" t="s">
        <v>66</v>
      </c>
      <c r="E62" s="333">
        <v>4</v>
      </c>
      <c r="F62" s="334"/>
      <c r="G62" s="335"/>
      <c r="H62" s="335"/>
      <c r="I62" s="336"/>
      <c r="J62" s="335"/>
      <c r="K62" s="335"/>
      <c r="L62" s="335"/>
      <c r="M62" s="335"/>
      <c r="N62" s="335"/>
      <c r="O62" s="335"/>
      <c r="P62" s="335"/>
      <c r="Q62" s="335"/>
      <c r="R62" s="335"/>
      <c r="S62" s="370"/>
      <c r="AU62" s="3"/>
    </row>
    <row r="63" spans="1:47" ht="17.25" hidden="1" customHeight="1">
      <c r="B63" s="949"/>
      <c r="C63" s="337" t="s">
        <v>68</v>
      </c>
      <c r="D63" s="338" t="s">
        <v>66</v>
      </c>
      <c r="E63" s="339">
        <v>2</v>
      </c>
      <c r="F63" s="340"/>
      <c r="G63" s="341"/>
      <c r="H63" s="341"/>
      <c r="I63" s="341"/>
      <c r="J63" s="339"/>
      <c r="K63" s="339"/>
      <c r="L63" s="341"/>
      <c r="M63" s="341"/>
      <c r="N63" s="341"/>
      <c r="O63" s="341"/>
      <c r="P63" s="341"/>
      <c r="Q63" s="341"/>
      <c r="R63" s="341"/>
      <c r="S63" s="371"/>
      <c r="AU63" s="3"/>
    </row>
    <row r="64" spans="1:47" ht="17.25" hidden="1" customHeight="1">
      <c r="B64" s="949" t="s">
        <v>69</v>
      </c>
      <c r="C64" s="337" t="s">
        <v>70</v>
      </c>
      <c r="D64" s="338" t="s">
        <v>66</v>
      </c>
      <c r="E64" s="339">
        <v>3</v>
      </c>
      <c r="F64" s="334"/>
      <c r="G64" s="342"/>
      <c r="H64" s="342"/>
      <c r="I64" s="342"/>
      <c r="J64" s="342"/>
      <c r="K64" s="342"/>
      <c r="L64" s="339"/>
      <c r="M64" s="342"/>
      <c r="N64" s="342"/>
      <c r="O64" s="343"/>
      <c r="P64" s="344"/>
      <c r="Q64" s="343"/>
      <c r="R64" s="343"/>
      <c r="S64" s="372"/>
      <c r="V64" s="328"/>
      <c r="AU64" s="3"/>
    </row>
    <row r="65" spans="1:60" ht="17.25" hidden="1" customHeight="1">
      <c r="B65" s="949"/>
      <c r="C65" s="331" t="s">
        <v>71</v>
      </c>
      <c r="D65" s="332" t="s">
        <v>72</v>
      </c>
      <c r="E65" s="333">
        <v>3</v>
      </c>
      <c r="F65" s="340"/>
      <c r="G65" s="336"/>
      <c r="H65" s="336"/>
      <c r="I65" s="345"/>
      <c r="J65" s="335"/>
      <c r="K65" s="335"/>
      <c r="L65" s="336"/>
      <c r="M65" s="336"/>
      <c r="N65" s="336"/>
      <c r="O65" s="336"/>
      <c r="P65" s="336"/>
      <c r="Q65" s="336"/>
      <c r="R65" s="336"/>
      <c r="S65" s="373"/>
      <c r="AU65" s="3"/>
    </row>
    <row r="66" spans="1:60" ht="17.25" hidden="1" customHeight="1">
      <c r="B66" s="949"/>
      <c r="C66" s="337" t="s">
        <v>73</v>
      </c>
      <c r="D66" s="346" t="s">
        <v>72</v>
      </c>
      <c r="E66" s="339">
        <v>3</v>
      </c>
      <c r="F66" s="334"/>
      <c r="G66" s="339"/>
      <c r="H66" s="339"/>
      <c r="I66" s="341"/>
      <c r="J66" s="339"/>
      <c r="K66" s="339"/>
      <c r="L66" s="339"/>
      <c r="M66" s="339"/>
      <c r="N66" s="339"/>
      <c r="O66" s="339"/>
      <c r="P66" s="339"/>
      <c r="Q66" s="339"/>
      <c r="R66" s="339"/>
      <c r="S66" s="374"/>
      <c r="AU66" s="3"/>
    </row>
    <row r="67" spans="1:60" ht="17.25" hidden="1" customHeight="1">
      <c r="B67" s="950" t="s">
        <v>74</v>
      </c>
      <c r="C67" s="337" t="s">
        <v>75</v>
      </c>
      <c r="D67" s="338" t="s">
        <v>72</v>
      </c>
      <c r="E67" s="339">
        <v>2</v>
      </c>
      <c r="F67" s="339"/>
      <c r="G67" s="339"/>
      <c r="H67" s="339"/>
      <c r="I67" s="347"/>
      <c r="J67" s="339"/>
      <c r="K67" s="339"/>
      <c r="L67" s="339"/>
      <c r="M67" s="339"/>
      <c r="N67" s="339"/>
      <c r="O67" s="339"/>
      <c r="P67" s="339"/>
      <c r="Q67" s="339"/>
      <c r="R67" s="339"/>
      <c r="S67" s="374"/>
      <c r="AU67" s="3"/>
    </row>
    <row r="68" spans="1:60" ht="17.25" hidden="1" customHeight="1">
      <c r="B68" s="950"/>
      <c r="C68" s="337" t="s">
        <v>77</v>
      </c>
      <c r="D68" s="348" t="s">
        <v>72</v>
      </c>
      <c r="E68" s="335">
        <v>3</v>
      </c>
      <c r="F68" s="336"/>
      <c r="G68" s="341"/>
      <c r="H68" s="336"/>
      <c r="I68" s="336"/>
      <c r="J68" s="335"/>
      <c r="K68" s="335"/>
      <c r="L68" s="336"/>
      <c r="M68" s="336"/>
      <c r="N68" s="336"/>
      <c r="O68" s="336"/>
      <c r="P68" s="349"/>
      <c r="Q68" s="336"/>
      <c r="R68" s="336"/>
      <c r="S68" s="373"/>
      <c r="AU68" s="3"/>
    </row>
    <row r="69" spans="1:60" ht="17.25" hidden="1" customHeight="1">
      <c r="B69" s="950"/>
      <c r="C69" s="337" t="s">
        <v>285</v>
      </c>
      <c r="D69" s="332" t="s">
        <v>66</v>
      </c>
      <c r="E69" s="339">
        <v>2</v>
      </c>
      <c r="F69" s="339"/>
      <c r="G69" s="340"/>
      <c r="H69" s="339"/>
      <c r="I69" s="339"/>
      <c r="J69" s="350"/>
      <c r="K69" s="339"/>
      <c r="L69" s="339"/>
      <c r="M69" s="339"/>
      <c r="N69" s="339"/>
      <c r="O69" s="339"/>
      <c r="P69" s="339"/>
      <c r="Q69" s="339"/>
      <c r="R69" s="339"/>
      <c r="S69" s="374"/>
      <c r="AU69" s="3"/>
    </row>
    <row r="70" spans="1:60" ht="17.25" hidden="1" customHeight="1">
      <c r="B70" s="950"/>
      <c r="C70" s="337" t="s">
        <v>78</v>
      </c>
      <c r="D70" s="348" t="s">
        <v>66</v>
      </c>
      <c r="E70" s="335">
        <v>3</v>
      </c>
      <c r="F70" s="335"/>
      <c r="G70" s="335"/>
      <c r="H70" s="335"/>
      <c r="I70" s="347"/>
      <c r="J70" s="335"/>
      <c r="K70" s="335"/>
      <c r="L70" s="335"/>
      <c r="M70" s="335"/>
      <c r="N70" s="335"/>
      <c r="O70" s="335"/>
      <c r="P70" s="335"/>
      <c r="Q70" s="335"/>
      <c r="R70" s="335"/>
      <c r="S70" s="370"/>
      <c r="AU70" s="3"/>
    </row>
    <row r="71" spans="1:60" ht="17.25" customHeight="1">
      <c r="B71" s="945" t="s">
        <v>79</v>
      </c>
      <c r="C71" s="337" t="s">
        <v>229</v>
      </c>
      <c r="D71" s="338" t="s">
        <v>72</v>
      </c>
      <c r="E71" s="339">
        <v>3</v>
      </c>
      <c r="F71" s="341"/>
      <c r="G71" s="340"/>
      <c r="H71" s="341"/>
      <c r="I71" s="341"/>
      <c r="J71" s="339"/>
      <c r="K71" s="339"/>
      <c r="L71" s="341"/>
      <c r="M71" s="341"/>
      <c r="N71" s="341"/>
      <c r="O71" s="341"/>
      <c r="P71" s="341"/>
      <c r="Q71" s="341"/>
      <c r="R71" s="341"/>
      <c r="S71" s="371"/>
      <c r="AU71" s="3"/>
    </row>
    <row r="72" spans="1:60" ht="17.25" customHeight="1">
      <c r="B72" s="945"/>
      <c r="C72" s="337" t="s">
        <v>80</v>
      </c>
      <c r="D72" s="348" t="s">
        <v>72</v>
      </c>
      <c r="E72" s="335">
        <v>2</v>
      </c>
      <c r="F72" s="341"/>
      <c r="G72" s="336"/>
      <c r="H72" s="336"/>
      <c r="I72" s="341"/>
      <c r="J72" s="347"/>
      <c r="K72" s="335"/>
      <c r="L72" s="336"/>
      <c r="M72" s="336"/>
      <c r="N72" s="336"/>
      <c r="O72" s="336"/>
      <c r="P72" s="336"/>
      <c r="Q72" s="336"/>
      <c r="R72" s="336"/>
      <c r="S72" s="373"/>
      <c r="AU72" s="3"/>
    </row>
    <row r="73" spans="1:60" ht="17.25" customHeight="1">
      <c r="B73" s="945"/>
      <c r="C73" s="337" t="s">
        <v>82</v>
      </c>
      <c r="D73" s="338" t="s">
        <v>72</v>
      </c>
      <c r="E73" s="335">
        <v>2</v>
      </c>
      <c r="F73" s="339"/>
      <c r="G73" s="335"/>
      <c r="H73" s="335"/>
      <c r="I73" s="341"/>
      <c r="J73" s="347"/>
      <c r="K73" s="335"/>
      <c r="L73" s="335"/>
      <c r="M73" s="335"/>
      <c r="N73" s="335"/>
      <c r="O73" s="336"/>
      <c r="P73" s="335"/>
      <c r="Q73" s="335"/>
      <c r="R73" s="335"/>
      <c r="S73" s="373"/>
      <c r="AU73" s="3"/>
    </row>
    <row r="74" spans="1:60" ht="17.25" customHeight="1">
      <c r="B74" s="945"/>
      <c r="C74" s="337" t="s">
        <v>83</v>
      </c>
      <c r="D74" s="348" t="s">
        <v>72</v>
      </c>
      <c r="E74" s="339">
        <v>2</v>
      </c>
      <c r="F74" s="341"/>
      <c r="G74" s="341"/>
      <c r="H74" s="341"/>
      <c r="I74" s="341"/>
      <c r="J74" s="339"/>
      <c r="K74" s="339"/>
      <c r="L74" s="341"/>
      <c r="M74" s="351"/>
      <c r="N74" s="341"/>
      <c r="O74" s="341"/>
      <c r="P74" s="341"/>
      <c r="Q74" s="341"/>
      <c r="R74" s="341"/>
      <c r="S74" s="371"/>
      <c r="AU74" s="3"/>
    </row>
    <row r="75" spans="1:60" s="8" customFormat="1" ht="17.25" customHeight="1">
      <c r="A75"/>
      <c r="B75" s="945"/>
      <c r="C75" s="337" t="s">
        <v>286</v>
      </c>
      <c r="D75" s="338" t="s">
        <v>66</v>
      </c>
      <c r="E75" s="339">
        <v>2</v>
      </c>
      <c r="F75" s="341"/>
      <c r="G75" s="340"/>
      <c r="H75" s="341"/>
      <c r="I75" s="341"/>
      <c r="J75" s="339"/>
      <c r="K75" s="339"/>
      <c r="L75" s="341"/>
      <c r="M75" s="341"/>
      <c r="N75" s="341"/>
      <c r="O75" s="341"/>
      <c r="P75" s="341"/>
      <c r="Q75" s="341"/>
      <c r="R75" s="341"/>
      <c r="S75" s="371"/>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36"/>
      <c r="AV75" s="13"/>
      <c r="AW75" s="13"/>
      <c r="AX75" s="13"/>
      <c r="AY75" s="13"/>
      <c r="AZ75" s="13"/>
      <c r="BA75" s="13"/>
      <c r="BB75" s="13"/>
      <c r="BC75" s="13"/>
      <c r="BD75" s="13"/>
      <c r="BE75" s="13"/>
      <c r="BF75" s="13"/>
      <c r="BG75" s="13"/>
      <c r="BH75" s="13"/>
    </row>
    <row r="76" spans="1:60" ht="17.25" customHeight="1">
      <c r="B76" s="945" t="s">
        <v>85</v>
      </c>
      <c r="C76" s="337" t="s">
        <v>287</v>
      </c>
      <c r="D76" s="348" t="s">
        <v>72</v>
      </c>
      <c r="E76" s="335">
        <v>1</v>
      </c>
      <c r="F76" s="335"/>
      <c r="G76" s="335"/>
      <c r="H76" s="335"/>
      <c r="I76" s="335"/>
      <c r="J76" s="335"/>
      <c r="K76" s="336"/>
      <c r="L76" s="335"/>
      <c r="M76" s="335"/>
      <c r="N76" s="335"/>
      <c r="O76" s="352"/>
      <c r="P76" s="335"/>
      <c r="Q76" s="335"/>
      <c r="R76" s="335"/>
      <c r="S76" s="373"/>
      <c r="AU76" s="3"/>
    </row>
    <row r="77" spans="1:60" ht="17.25" customHeight="1">
      <c r="B77" s="945"/>
      <c r="C77" s="337" t="s">
        <v>226</v>
      </c>
      <c r="D77" s="348" t="s">
        <v>72</v>
      </c>
      <c r="E77" s="335">
        <v>2</v>
      </c>
      <c r="F77" s="335"/>
      <c r="G77" s="335"/>
      <c r="H77" s="335"/>
      <c r="I77" s="335"/>
      <c r="J77" s="335"/>
      <c r="K77" s="336"/>
      <c r="L77" s="335"/>
      <c r="M77" s="335"/>
      <c r="N77" s="335"/>
      <c r="O77" s="352"/>
      <c r="P77" s="335"/>
      <c r="Q77" s="335"/>
      <c r="R77" s="335"/>
      <c r="S77" s="373"/>
      <c r="AU77" s="3"/>
    </row>
    <row r="78" spans="1:60" ht="17.25" customHeight="1">
      <c r="B78" s="945"/>
      <c r="C78" s="337" t="s">
        <v>81</v>
      </c>
      <c r="D78" s="338" t="s">
        <v>66</v>
      </c>
      <c r="E78" s="339">
        <v>3</v>
      </c>
      <c r="F78" s="339"/>
      <c r="G78" s="339"/>
      <c r="H78" s="339"/>
      <c r="I78" s="339"/>
      <c r="J78" s="347"/>
      <c r="K78" s="339"/>
      <c r="L78" s="339"/>
      <c r="M78" s="339"/>
      <c r="N78" s="339"/>
      <c r="O78" s="339"/>
      <c r="P78" s="339"/>
      <c r="Q78" s="353"/>
      <c r="R78" s="339"/>
      <c r="S78" s="374"/>
      <c r="Y78" s="328" t="s">
        <v>84</v>
      </c>
      <c r="AU78" s="3"/>
    </row>
    <row r="79" spans="1:60" ht="17.25" customHeight="1">
      <c r="B79" s="945"/>
      <c r="C79" s="337" t="s">
        <v>222</v>
      </c>
      <c r="D79" s="338" t="s">
        <v>72</v>
      </c>
      <c r="E79" s="339">
        <v>4</v>
      </c>
      <c r="F79" s="339"/>
      <c r="G79" s="341"/>
      <c r="H79" s="339"/>
      <c r="I79" s="339"/>
      <c r="J79" s="347"/>
      <c r="K79" s="339"/>
      <c r="L79" s="339"/>
      <c r="M79" s="339"/>
      <c r="N79" s="339"/>
      <c r="O79" s="339"/>
      <c r="P79" s="339"/>
      <c r="Q79" s="339"/>
      <c r="R79" s="339"/>
      <c r="S79" s="374"/>
      <c r="AU79" s="3"/>
    </row>
    <row r="80" spans="1:60" ht="17.25" customHeight="1">
      <c r="B80" s="945"/>
      <c r="C80" s="337" t="s">
        <v>288</v>
      </c>
      <c r="D80" s="348" t="s">
        <v>72</v>
      </c>
      <c r="E80" s="339">
        <v>2</v>
      </c>
      <c r="F80" s="339"/>
      <c r="G80" s="354"/>
      <c r="H80" s="339"/>
      <c r="I80" s="339"/>
      <c r="J80" s="347"/>
      <c r="K80" s="339"/>
      <c r="L80" s="339"/>
      <c r="M80" s="339"/>
      <c r="N80" s="339"/>
      <c r="O80" s="339"/>
      <c r="P80" s="339"/>
      <c r="Q80" s="339"/>
      <c r="R80" s="339"/>
      <c r="S80" s="374"/>
      <c r="AU80" s="3"/>
    </row>
    <row r="81" spans="2:47" ht="17.25" customHeight="1">
      <c r="B81" s="945"/>
      <c r="C81" s="337" t="s">
        <v>86</v>
      </c>
      <c r="D81" s="338" t="s">
        <v>72</v>
      </c>
      <c r="E81" s="339">
        <v>2</v>
      </c>
      <c r="F81" s="341"/>
      <c r="G81" s="341"/>
      <c r="H81" s="341"/>
      <c r="I81" s="341"/>
      <c r="J81" s="347"/>
      <c r="K81" s="339"/>
      <c r="L81" s="341"/>
      <c r="M81" s="341"/>
      <c r="N81" s="341"/>
      <c r="O81" s="341"/>
      <c r="P81" s="341"/>
      <c r="Q81" s="341"/>
      <c r="R81" s="341"/>
      <c r="S81" s="371"/>
      <c r="AA81" s="328" t="s">
        <v>84</v>
      </c>
      <c r="AU81" s="3"/>
    </row>
    <row r="82" spans="2:47" ht="17.25" customHeight="1">
      <c r="B82" s="945"/>
      <c r="C82" s="337" t="s">
        <v>88</v>
      </c>
      <c r="D82" s="348" t="s">
        <v>72</v>
      </c>
      <c r="E82" s="339">
        <v>2</v>
      </c>
      <c r="F82" s="341"/>
      <c r="G82" s="340"/>
      <c r="H82" s="341"/>
      <c r="I82" s="341"/>
      <c r="J82" s="339"/>
      <c r="K82" s="339"/>
      <c r="L82" s="341"/>
      <c r="M82" s="341"/>
      <c r="N82" s="341"/>
      <c r="O82" s="341"/>
      <c r="P82" s="341"/>
      <c r="Q82" s="341"/>
      <c r="R82" s="341"/>
      <c r="S82" s="371"/>
      <c r="AU82" s="3"/>
    </row>
    <row r="83" spans="2:47" ht="17.25" customHeight="1">
      <c r="B83" s="945" t="s">
        <v>90</v>
      </c>
      <c r="C83" s="337" t="s">
        <v>91</v>
      </c>
      <c r="D83" s="338" t="s">
        <v>72</v>
      </c>
      <c r="E83" s="339">
        <v>3</v>
      </c>
      <c r="F83" s="341"/>
      <c r="G83" s="340"/>
      <c r="H83" s="341"/>
      <c r="I83" s="341"/>
      <c r="J83" s="339"/>
      <c r="K83" s="339"/>
      <c r="L83" s="341"/>
      <c r="M83" s="341"/>
      <c r="N83" s="341"/>
      <c r="O83" s="341"/>
      <c r="P83" s="341"/>
      <c r="Q83" s="341"/>
      <c r="R83" s="341"/>
      <c r="S83" s="371"/>
      <c r="AU83" s="3"/>
    </row>
    <row r="84" spans="2:47" ht="17.25" customHeight="1">
      <c r="B84" s="945"/>
      <c r="C84" s="337" t="s">
        <v>89</v>
      </c>
      <c r="D84" s="338" t="s">
        <v>72</v>
      </c>
      <c r="E84" s="335">
        <v>2</v>
      </c>
      <c r="F84" s="339"/>
      <c r="G84" s="335"/>
      <c r="H84" s="335"/>
      <c r="I84" s="336"/>
      <c r="J84" s="347"/>
      <c r="K84" s="335"/>
      <c r="L84" s="335"/>
      <c r="M84" s="335"/>
      <c r="N84" s="335"/>
      <c r="O84" s="336"/>
      <c r="P84" s="335"/>
      <c r="Q84" s="335"/>
      <c r="R84" s="335"/>
      <c r="S84" s="373"/>
      <c r="AU84" s="3"/>
    </row>
    <row r="85" spans="2:47" ht="17.25" customHeight="1">
      <c r="B85" s="945"/>
      <c r="C85" s="337" t="s">
        <v>289</v>
      </c>
      <c r="D85" s="348" t="s">
        <v>72</v>
      </c>
      <c r="E85" s="339">
        <v>2</v>
      </c>
      <c r="F85" s="341"/>
      <c r="G85" s="341"/>
      <c r="H85" s="341"/>
      <c r="I85" s="341"/>
      <c r="J85" s="339"/>
      <c r="K85" s="347"/>
      <c r="L85" s="341"/>
      <c r="M85" s="341"/>
      <c r="N85" s="341"/>
      <c r="O85" s="341"/>
      <c r="P85" s="341"/>
      <c r="Q85" s="341"/>
      <c r="R85" s="341"/>
      <c r="S85" s="371"/>
      <c r="Y85" s="328" t="s">
        <v>84</v>
      </c>
      <c r="AU85" s="3"/>
    </row>
    <row r="86" spans="2:47" ht="17.25" customHeight="1">
      <c r="B86" s="945"/>
      <c r="C86" s="337" t="s">
        <v>87</v>
      </c>
      <c r="D86" s="338" t="s">
        <v>72</v>
      </c>
      <c r="E86" s="335">
        <v>3</v>
      </c>
      <c r="F86" s="335"/>
      <c r="G86" s="335"/>
      <c r="H86" s="335"/>
      <c r="I86" s="336"/>
      <c r="J86" s="347"/>
      <c r="K86" s="335"/>
      <c r="L86" s="335"/>
      <c r="M86" s="335"/>
      <c r="N86" s="351"/>
      <c r="O86" s="335"/>
      <c r="P86" s="335"/>
      <c r="Q86" s="335"/>
      <c r="R86" s="335"/>
      <c r="S86" s="373"/>
      <c r="AU86" s="3"/>
    </row>
    <row r="87" spans="2:47" ht="17.25" customHeight="1">
      <c r="B87" s="945"/>
      <c r="C87" s="337" t="s">
        <v>223</v>
      </c>
      <c r="D87" s="348" t="s">
        <v>72</v>
      </c>
      <c r="E87" s="335">
        <v>3</v>
      </c>
      <c r="F87" s="336"/>
      <c r="G87" s="336"/>
      <c r="H87" s="336"/>
      <c r="I87" s="336"/>
      <c r="J87" s="347"/>
      <c r="K87" s="335"/>
      <c r="L87" s="336"/>
      <c r="M87" s="336"/>
      <c r="N87" s="336"/>
      <c r="O87" s="336"/>
      <c r="P87" s="336"/>
      <c r="Q87" s="336"/>
      <c r="R87" s="336"/>
      <c r="S87" s="373"/>
      <c r="AU87" s="3"/>
    </row>
    <row r="88" spans="2:47" ht="17.25" customHeight="1">
      <c r="B88" s="945"/>
      <c r="C88" s="337" t="s">
        <v>93</v>
      </c>
      <c r="D88" s="338" t="s">
        <v>72</v>
      </c>
      <c r="E88" s="335">
        <v>3</v>
      </c>
      <c r="F88" s="336"/>
      <c r="G88" s="336"/>
      <c r="H88" s="336"/>
      <c r="I88" s="339"/>
      <c r="J88" s="347"/>
      <c r="K88" s="335"/>
      <c r="L88" s="336"/>
      <c r="M88" s="336"/>
      <c r="N88" s="336"/>
      <c r="O88" s="336"/>
      <c r="P88" s="336"/>
      <c r="Q88" s="336"/>
      <c r="R88" s="336"/>
      <c r="S88" s="373"/>
      <c r="AU88" s="3"/>
    </row>
    <row r="89" spans="2:47" ht="17.25" customHeight="1">
      <c r="B89" s="945" t="s">
        <v>143</v>
      </c>
      <c r="C89" s="337" t="s">
        <v>96</v>
      </c>
      <c r="D89" s="348" t="s">
        <v>72</v>
      </c>
      <c r="E89" s="335">
        <v>3</v>
      </c>
      <c r="F89" s="336"/>
      <c r="G89" s="336"/>
      <c r="H89" s="336"/>
      <c r="I89" s="335"/>
      <c r="J89" s="335"/>
      <c r="K89" s="339"/>
      <c r="L89" s="336"/>
      <c r="M89" s="336"/>
      <c r="N89" s="341"/>
      <c r="O89" s="351"/>
      <c r="P89" s="336"/>
      <c r="Q89" s="355"/>
      <c r="R89" s="336"/>
      <c r="S89" s="373"/>
      <c r="AU89" s="3"/>
    </row>
    <row r="90" spans="2:47" ht="17.25" customHeight="1">
      <c r="B90" s="945"/>
      <c r="C90" s="337" t="s">
        <v>97</v>
      </c>
      <c r="D90" s="338" t="s">
        <v>72</v>
      </c>
      <c r="E90" s="339">
        <v>3</v>
      </c>
      <c r="F90" s="341"/>
      <c r="G90" s="341"/>
      <c r="H90" s="341"/>
      <c r="I90" s="341"/>
      <c r="J90" s="339"/>
      <c r="K90" s="347"/>
      <c r="L90" s="341"/>
      <c r="M90" s="341"/>
      <c r="N90" s="341"/>
      <c r="O90" s="341"/>
      <c r="P90" s="341"/>
      <c r="Q90" s="341"/>
      <c r="R90" s="349"/>
      <c r="S90" s="371"/>
      <c r="AU90" s="3"/>
    </row>
    <row r="91" spans="2:47" ht="17.25" customHeight="1">
      <c r="B91" s="945"/>
      <c r="C91" s="337" t="s">
        <v>98</v>
      </c>
      <c r="D91" s="338" t="s">
        <v>72</v>
      </c>
      <c r="E91" s="335">
        <v>3</v>
      </c>
      <c r="F91" s="341"/>
      <c r="G91" s="340"/>
      <c r="H91" s="336"/>
      <c r="I91" s="336"/>
      <c r="J91" s="339"/>
      <c r="K91" s="335"/>
      <c r="L91" s="336"/>
      <c r="M91" s="336"/>
      <c r="N91" s="341"/>
      <c r="O91" s="351"/>
      <c r="P91" s="336"/>
      <c r="Q91" s="336"/>
      <c r="R91" s="336"/>
      <c r="S91" s="373"/>
      <c r="AU91" s="3"/>
    </row>
    <row r="92" spans="2:47" ht="17.25" customHeight="1">
      <c r="B92" s="945"/>
      <c r="C92" s="337" t="s">
        <v>235</v>
      </c>
      <c r="D92" s="348" t="s">
        <v>66</v>
      </c>
      <c r="E92" s="335">
        <v>2</v>
      </c>
      <c r="F92" s="341"/>
      <c r="G92" s="354"/>
      <c r="H92" s="336"/>
      <c r="I92" s="336"/>
      <c r="J92" s="339"/>
      <c r="K92" s="347"/>
      <c r="L92" s="336"/>
      <c r="M92" s="336"/>
      <c r="N92" s="341"/>
      <c r="O92" s="354"/>
      <c r="P92" s="336"/>
      <c r="Q92" s="336"/>
      <c r="R92" s="336"/>
      <c r="S92" s="373"/>
      <c r="AU92" s="3"/>
    </row>
    <row r="93" spans="2:47" ht="17.25" customHeight="1">
      <c r="B93" s="945"/>
      <c r="C93" s="337" t="s">
        <v>290</v>
      </c>
      <c r="D93" s="338" t="s">
        <v>72</v>
      </c>
      <c r="E93" s="339">
        <v>2</v>
      </c>
      <c r="F93" s="341"/>
      <c r="G93" s="354"/>
      <c r="H93" s="336"/>
      <c r="I93" s="336"/>
      <c r="J93" s="339"/>
      <c r="K93" s="350"/>
      <c r="L93" s="336"/>
      <c r="M93" s="336"/>
      <c r="N93" s="341"/>
      <c r="O93" s="354"/>
      <c r="P93" s="356"/>
      <c r="Q93" s="336"/>
      <c r="R93" s="336"/>
      <c r="S93" s="373"/>
      <c r="AU93" s="3"/>
    </row>
    <row r="94" spans="2:47" ht="17.25" customHeight="1">
      <c r="B94" s="945"/>
      <c r="C94" s="337" t="s">
        <v>99</v>
      </c>
      <c r="D94" s="338" t="s">
        <v>72</v>
      </c>
      <c r="E94" s="339">
        <v>3</v>
      </c>
      <c r="F94" s="341"/>
      <c r="G94" s="341"/>
      <c r="H94" s="341"/>
      <c r="I94" s="341"/>
      <c r="J94" s="347"/>
      <c r="K94" s="339"/>
      <c r="L94" s="341"/>
      <c r="M94" s="341"/>
      <c r="N94" s="341"/>
      <c r="O94" s="341"/>
      <c r="P94" s="341"/>
      <c r="Q94" s="341"/>
      <c r="R94" s="341"/>
      <c r="S94" s="371"/>
      <c r="AU94" s="3"/>
    </row>
    <row r="95" spans="2:47" ht="17.25" customHeight="1">
      <c r="B95" s="945" t="s">
        <v>100</v>
      </c>
      <c r="C95" s="337" t="s">
        <v>291</v>
      </c>
      <c r="D95" s="338" t="s">
        <v>72</v>
      </c>
      <c r="E95" s="335">
        <v>2</v>
      </c>
      <c r="F95" s="335"/>
      <c r="G95" s="335"/>
      <c r="H95" s="335"/>
      <c r="I95" s="335"/>
      <c r="J95" s="335"/>
      <c r="K95" s="335"/>
      <c r="L95" s="335"/>
      <c r="M95" s="335"/>
      <c r="N95" s="335"/>
      <c r="O95" s="335"/>
      <c r="P95" s="350"/>
      <c r="Q95" s="335"/>
      <c r="R95" s="356"/>
      <c r="S95" s="375"/>
      <c r="AU95" s="3"/>
    </row>
    <row r="96" spans="2:47" ht="17.25" customHeight="1">
      <c r="B96" s="945"/>
      <c r="C96" s="337" t="s">
        <v>292</v>
      </c>
      <c r="D96" s="338" t="s">
        <v>72</v>
      </c>
      <c r="E96" s="335">
        <v>2</v>
      </c>
      <c r="F96" s="335"/>
      <c r="G96" s="335"/>
      <c r="H96" s="335"/>
      <c r="I96" s="335"/>
      <c r="J96" s="335"/>
      <c r="K96" s="335"/>
      <c r="L96" s="335"/>
      <c r="M96" s="335"/>
      <c r="N96" s="335"/>
      <c r="O96" s="335"/>
      <c r="P96" s="350"/>
      <c r="Q96" s="335"/>
      <c r="R96" s="356"/>
      <c r="S96" s="375"/>
      <c r="AU96" s="3"/>
    </row>
    <row r="97" spans="2:47" ht="17.25" customHeight="1">
      <c r="B97" s="945"/>
      <c r="C97" s="337" t="s">
        <v>293</v>
      </c>
      <c r="D97" s="338" t="s">
        <v>72</v>
      </c>
      <c r="E97" s="335">
        <v>3</v>
      </c>
      <c r="F97" s="335"/>
      <c r="G97" s="335"/>
      <c r="H97" s="335"/>
      <c r="I97" s="335"/>
      <c r="J97" s="335"/>
      <c r="K97" s="335"/>
      <c r="L97" s="335"/>
      <c r="M97" s="335"/>
      <c r="N97" s="335"/>
      <c r="O97" s="335"/>
      <c r="P97" s="350"/>
      <c r="Q97" s="335"/>
      <c r="R97" s="356"/>
      <c r="S97" s="375"/>
      <c r="AU97" s="3"/>
    </row>
    <row r="98" spans="2:47" ht="17.25" customHeight="1">
      <c r="B98" s="945"/>
      <c r="C98" s="337" t="s">
        <v>94</v>
      </c>
      <c r="D98" s="338" t="s">
        <v>72</v>
      </c>
      <c r="E98" s="339">
        <v>3</v>
      </c>
      <c r="F98" s="341"/>
      <c r="G98" s="341"/>
      <c r="H98" s="341"/>
      <c r="I98" s="339"/>
      <c r="J98" s="339"/>
      <c r="K98" s="339"/>
      <c r="L98" s="341"/>
      <c r="M98" s="341"/>
      <c r="N98" s="341"/>
      <c r="O98" s="341"/>
      <c r="P98" s="341"/>
      <c r="Q98" s="349"/>
      <c r="R98" s="341"/>
      <c r="S98" s="371"/>
      <c r="AU98" s="3"/>
    </row>
    <row r="99" spans="2:47" ht="17.25" customHeight="1">
      <c r="B99" s="945"/>
      <c r="C99" s="337" t="s">
        <v>236</v>
      </c>
      <c r="D99" s="338" t="s">
        <v>72</v>
      </c>
      <c r="E99" s="339">
        <v>2</v>
      </c>
      <c r="F99" s="341"/>
      <c r="G99" s="341"/>
      <c r="H99" s="341"/>
      <c r="I99" s="341"/>
      <c r="J99" s="339"/>
      <c r="K99" s="347"/>
      <c r="L99" s="341"/>
      <c r="M99" s="341"/>
      <c r="N99" s="341"/>
      <c r="O99" s="341"/>
      <c r="P99" s="341"/>
      <c r="Q99" s="341"/>
      <c r="R99" s="341"/>
      <c r="S99" s="371"/>
      <c r="AU99" s="3"/>
    </row>
    <row r="100" spans="2:47" ht="17.25" customHeight="1">
      <c r="B100" s="945"/>
      <c r="C100" s="337" t="s">
        <v>95</v>
      </c>
      <c r="D100" s="338" t="s">
        <v>72</v>
      </c>
      <c r="E100" s="339">
        <v>3</v>
      </c>
      <c r="F100" s="341" t="s">
        <v>84</v>
      </c>
      <c r="G100" s="341"/>
      <c r="H100" s="341"/>
      <c r="I100" s="341"/>
      <c r="J100" s="339"/>
      <c r="K100" s="339"/>
      <c r="L100" s="341"/>
      <c r="M100" s="341"/>
      <c r="N100" s="341"/>
      <c r="O100" s="341"/>
      <c r="P100" s="341"/>
      <c r="Q100" s="349"/>
      <c r="R100" s="341"/>
      <c r="S100" s="371"/>
      <c r="AU100" s="3"/>
    </row>
    <row r="101" spans="2:47" ht="17.25" customHeight="1" thickBot="1">
      <c r="B101" s="376" t="s">
        <v>103</v>
      </c>
      <c r="C101" s="377" t="s">
        <v>294</v>
      </c>
      <c r="D101" s="378" t="s">
        <v>101</v>
      </c>
      <c r="E101" s="379">
        <v>15</v>
      </c>
      <c r="F101" s="380"/>
      <c r="G101" s="380"/>
      <c r="H101" s="380"/>
      <c r="I101" s="380"/>
      <c r="J101" s="379"/>
      <c r="K101" s="379"/>
      <c r="L101" s="380"/>
      <c r="M101" s="380"/>
      <c r="N101" s="380"/>
      <c r="O101" s="380"/>
      <c r="P101" s="380"/>
      <c r="Q101" s="380"/>
      <c r="R101" s="380"/>
      <c r="S101" s="381"/>
      <c r="AU101" s="3"/>
    </row>
    <row r="102" spans="2:47" ht="14">
      <c r="B102" s="17"/>
      <c r="C102" s="2"/>
      <c r="D102" s="2"/>
      <c r="E102" s="14"/>
      <c r="F102" s="2"/>
      <c r="G102" s="2"/>
      <c r="H102" s="2"/>
      <c r="I102" s="2"/>
      <c r="J102" s="2"/>
      <c r="K102" s="2"/>
      <c r="L102" s="2"/>
      <c r="M102" s="2"/>
      <c r="N102" s="2"/>
      <c r="O102" s="2"/>
    </row>
    <row r="103" spans="2:47" ht="31.5" customHeight="1">
      <c r="B103" s="3"/>
      <c r="C103" s="18" t="s">
        <v>105</v>
      </c>
      <c r="D103" s="10"/>
      <c r="E103" s="9"/>
      <c r="F103" s="15"/>
      <c r="G103" s="9"/>
      <c r="H103" s="9"/>
      <c r="I103" s="9"/>
      <c r="J103" s="9"/>
      <c r="K103" s="9"/>
      <c r="L103" s="9"/>
      <c r="M103" s="7"/>
      <c r="N103" s="1"/>
      <c r="O103" s="1"/>
      <c r="P103" s="1"/>
    </row>
    <row r="104" spans="2:47" ht="19">
      <c r="B104"/>
      <c r="C104" s="121"/>
      <c r="D104" s="9"/>
      <c r="E104" s="9"/>
      <c r="F104" s="9"/>
      <c r="G104" s="9"/>
      <c r="H104" s="9"/>
      <c r="I104" s="9"/>
      <c r="J104" s="9"/>
      <c r="K104" s="9"/>
      <c r="L104" s="9"/>
      <c r="M104" s="7"/>
      <c r="N104" s="1"/>
      <c r="O104" s="1"/>
      <c r="P104" s="1"/>
    </row>
    <row r="105" spans="2:47" ht="19">
      <c r="B105" s="3"/>
      <c r="C105" s="119" t="s">
        <v>108</v>
      </c>
      <c r="D105" s="9"/>
      <c r="E105" s="9"/>
      <c r="F105" s="9"/>
      <c r="G105" s="9"/>
      <c r="H105" s="9"/>
      <c r="I105" s="9"/>
      <c r="J105" s="9"/>
      <c r="K105" s="9"/>
      <c r="L105" s="9"/>
      <c r="M105" s="7"/>
      <c r="N105" s="1"/>
      <c r="O105" s="1"/>
      <c r="P105" s="1"/>
    </row>
    <row r="106" spans="2:47" ht="19">
      <c r="B106" s="3"/>
      <c r="C106" s="120" t="s">
        <v>110</v>
      </c>
      <c r="D106" s="9"/>
      <c r="E106" s="9"/>
      <c r="F106" s="9"/>
      <c r="G106" s="9"/>
      <c r="H106" s="9"/>
      <c r="I106" s="9"/>
      <c r="J106" s="9"/>
      <c r="K106" s="9"/>
      <c r="L106" s="9"/>
      <c r="M106" s="7"/>
      <c r="N106" s="1"/>
      <c r="O106" s="1"/>
      <c r="P106" s="1"/>
    </row>
    <row r="107" spans="2:47" ht="19">
      <c r="B107" s="3"/>
      <c r="C107" s="120" t="s">
        <v>112</v>
      </c>
      <c r="D107" s="9"/>
      <c r="E107" s="9"/>
      <c r="F107" s="9"/>
      <c r="G107" s="9"/>
      <c r="H107" s="9"/>
      <c r="I107" s="9"/>
      <c r="J107" s="9"/>
      <c r="K107" s="9"/>
      <c r="L107" s="9"/>
      <c r="M107" s="7"/>
      <c r="N107" s="1"/>
      <c r="O107" s="1"/>
      <c r="P107" s="1"/>
    </row>
    <row r="108" spans="2:47" ht="19">
      <c r="B108" s="3"/>
      <c r="C108" s="19" t="s">
        <v>114</v>
      </c>
      <c r="D108" s="122"/>
      <c r="E108" s="122"/>
      <c r="F108" s="122"/>
      <c r="G108" s="122"/>
      <c r="H108" s="122"/>
      <c r="I108" s="122"/>
      <c r="J108" s="122"/>
      <c r="K108" s="122"/>
      <c r="L108" s="122"/>
      <c r="M108" s="7"/>
      <c r="N108" s="1"/>
      <c r="O108" s="1"/>
      <c r="P108" s="1"/>
    </row>
    <row r="109" spans="2:47" ht="14">
      <c r="B109"/>
      <c r="C109" s="109"/>
      <c r="D109" s="2"/>
      <c r="E109" s="2"/>
      <c r="F109" s="14"/>
      <c r="G109" s="2"/>
      <c r="H109" s="2"/>
      <c r="I109" s="2"/>
      <c r="J109" s="2"/>
      <c r="K109" s="2"/>
      <c r="L109" s="2"/>
      <c r="M109" s="2"/>
      <c r="N109" s="2"/>
      <c r="O109" s="2"/>
      <c r="P109" s="2"/>
    </row>
    <row r="110" spans="2:47" ht="14">
      <c r="AC110" s="17"/>
      <c r="AD110" s="2"/>
      <c r="AE110" s="2"/>
      <c r="AF110" s="14"/>
      <c r="AG110" s="2"/>
      <c r="AH110" s="2"/>
      <c r="AI110" s="2"/>
      <c r="AJ110" s="2"/>
      <c r="AK110" s="2"/>
      <c r="AL110" s="2"/>
      <c r="AM110" s="2"/>
      <c r="AN110" s="2"/>
      <c r="AO110" s="2"/>
    </row>
    <row r="111" spans="2:47" ht="14">
      <c r="AC111" s="17"/>
      <c r="AD111" s="2"/>
      <c r="AE111" s="2"/>
      <c r="AF111" s="14"/>
      <c r="AG111" s="2"/>
      <c r="AH111" s="2"/>
      <c r="AI111" s="2"/>
      <c r="AJ111" s="2"/>
      <c r="AK111" s="2"/>
      <c r="AL111" s="2"/>
      <c r="AM111" s="2"/>
      <c r="AN111" s="2"/>
      <c r="AO111" s="2"/>
    </row>
    <row r="112" spans="2:47" ht="14">
      <c r="AC112" s="17"/>
      <c r="AD112" s="2"/>
      <c r="AE112" s="2"/>
      <c r="AF112" s="14"/>
      <c r="AG112" s="2"/>
      <c r="AH112" s="2"/>
      <c r="AI112" s="2"/>
      <c r="AJ112" s="2"/>
      <c r="AK112" s="2"/>
      <c r="AL112" s="2"/>
      <c r="AM112" s="2"/>
      <c r="AN112" s="2"/>
      <c r="AO112" s="2"/>
    </row>
    <row r="113" spans="2:41" ht="14">
      <c r="AC113" s="17"/>
      <c r="AD113" s="2"/>
      <c r="AE113" s="2"/>
      <c r="AF113" s="14"/>
      <c r="AG113" s="2"/>
      <c r="AH113" s="2"/>
      <c r="AI113" s="2"/>
      <c r="AJ113" s="2"/>
      <c r="AK113" s="2"/>
      <c r="AL113" s="2"/>
      <c r="AM113" s="2"/>
      <c r="AN113" s="2"/>
      <c r="AO113" s="2"/>
    </row>
    <row r="114" spans="2:41" ht="14">
      <c r="AC114" s="17"/>
      <c r="AD114" s="2"/>
      <c r="AE114" s="2"/>
      <c r="AF114" s="14"/>
      <c r="AG114" s="2"/>
      <c r="AH114" s="2"/>
      <c r="AI114" s="2"/>
      <c r="AJ114" s="2"/>
      <c r="AK114" s="2"/>
      <c r="AL114" s="2"/>
      <c r="AM114" s="2"/>
      <c r="AN114" s="2"/>
      <c r="AO114" s="2"/>
    </row>
    <row r="115" spans="2:41" ht="14"/>
    <row r="116" spans="2:41" ht="14">
      <c r="B116" s="17"/>
      <c r="C116" s="2"/>
      <c r="D116" s="2"/>
      <c r="E116" s="14"/>
      <c r="F116" s="2"/>
      <c r="G116" s="2"/>
      <c r="H116" s="2"/>
      <c r="I116" s="2"/>
      <c r="J116" s="2"/>
      <c r="K116" s="2"/>
      <c r="L116" s="2"/>
      <c r="M116" s="2"/>
      <c r="N116" s="2"/>
      <c r="O116" s="2"/>
    </row>
    <row r="117" spans="2:41" ht="14">
      <c r="B117" s="17"/>
      <c r="C117" s="2"/>
      <c r="D117" s="2"/>
      <c r="E117" s="14"/>
      <c r="F117" s="2"/>
      <c r="G117" s="2"/>
      <c r="H117" s="2"/>
      <c r="I117" s="2"/>
      <c r="J117" s="2"/>
      <c r="K117" s="2"/>
      <c r="L117" s="2"/>
      <c r="M117" s="2"/>
      <c r="N117" s="2"/>
      <c r="O117" s="2"/>
    </row>
    <row r="118" spans="2:41" ht="14">
      <c r="B118" s="17"/>
      <c r="C118" s="2"/>
      <c r="D118" s="2"/>
      <c r="E118" s="14"/>
      <c r="F118" s="2"/>
      <c r="G118" s="2"/>
      <c r="H118" s="2"/>
      <c r="I118" s="2"/>
      <c r="J118" s="2"/>
      <c r="K118" s="2"/>
      <c r="L118" s="2"/>
      <c r="M118" s="2"/>
      <c r="N118" s="2"/>
      <c r="O118" s="2"/>
    </row>
    <row r="119" spans="2:41" ht="14">
      <c r="B119" s="17"/>
      <c r="C119" s="2"/>
      <c r="D119" s="2"/>
      <c r="E119" s="14"/>
      <c r="F119" s="2"/>
      <c r="G119" s="2"/>
      <c r="H119" s="2"/>
      <c r="I119" s="2"/>
      <c r="J119" s="2"/>
      <c r="K119" s="2"/>
      <c r="L119" s="2"/>
      <c r="M119" s="2"/>
      <c r="N119" s="2"/>
      <c r="O119" s="2"/>
    </row>
    <row r="120" spans="2:41" ht="14">
      <c r="B120" s="17"/>
      <c r="C120" s="2"/>
      <c r="D120" s="2"/>
      <c r="E120" s="14"/>
      <c r="F120" s="2"/>
      <c r="G120" s="2"/>
      <c r="H120" s="2"/>
      <c r="I120" s="2"/>
      <c r="J120" s="2"/>
      <c r="K120" s="2"/>
      <c r="L120" s="2"/>
      <c r="M120" s="2"/>
      <c r="N120" s="2"/>
      <c r="O120" s="2"/>
    </row>
    <row r="121" spans="2:41" ht="14">
      <c r="B121" s="17"/>
      <c r="C121" s="2"/>
      <c r="D121" s="2"/>
      <c r="E121" s="14"/>
      <c r="F121" s="2"/>
      <c r="G121" s="2"/>
      <c r="H121" s="2"/>
      <c r="I121" s="2"/>
      <c r="J121" s="2"/>
      <c r="K121" s="2"/>
      <c r="L121" s="2"/>
      <c r="M121" s="2"/>
      <c r="N121" s="2"/>
      <c r="O121" s="2"/>
    </row>
    <row r="122" spans="2:41" ht="14">
      <c r="B122" s="17"/>
      <c r="C122" s="2"/>
      <c r="D122" s="2"/>
      <c r="E122" s="14"/>
      <c r="F122" s="2"/>
      <c r="G122" s="2"/>
      <c r="H122" s="2"/>
      <c r="I122" s="2"/>
      <c r="J122" s="2"/>
      <c r="K122" s="2"/>
      <c r="L122" s="2"/>
      <c r="M122" s="2"/>
      <c r="N122" s="2"/>
      <c r="O122" s="2"/>
    </row>
    <row r="123" spans="2:41" ht="14">
      <c r="B123" s="17"/>
      <c r="C123" s="2"/>
      <c r="D123" s="2"/>
      <c r="E123" s="14"/>
      <c r="F123" s="2"/>
      <c r="G123" s="2"/>
      <c r="H123" s="2"/>
      <c r="I123" s="2"/>
      <c r="J123" s="2"/>
      <c r="K123" s="2"/>
      <c r="L123" s="2"/>
      <c r="M123" s="2"/>
      <c r="N123" s="2"/>
      <c r="O123" s="2"/>
    </row>
    <row r="124" spans="2:41" ht="14">
      <c r="B124" s="17"/>
      <c r="C124" s="2"/>
      <c r="D124" s="2"/>
      <c r="E124" s="14"/>
      <c r="F124" s="2"/>
      <c r="G124" s="2"/>
      <c r="H124" s="2"/>
      <c r="I124" s="2"/>
      <c r="J124" s="2"/>
      <c r="K124" s="2"/>
      <c r="L124" s="2"/>
      <c r="M124" s="2"/>
      <c r="N124" s="2"/>
      <c r="O124" s="2"/>
    </row>
    <row r="125" spans="2:41" ht="14">
      <c r="B125" s="17"/>
      <c r="C125" s="2"/>
      <c r="D125" s="2"/>
      <c r="E125" s="14"/>
      <c r="F125" s="2"/>
      <c r="G125" s="2"/>
      <c r="H125" s="2"/>
      <c r="I125" s="2"/>
      <c r="J125" s="2"/>
      <c r="K125" s="2"/>
      <c r="L125" s="2"/>
      <c r="M125" s="2"/>
      <c r="N125" s="2"/>
      <c r="O125" s="2"/>
    </row>
    <row r="126" spans="2:41" ht="14">
      <c r="B126" s="17"/>
      <c r="C126" s="2"/>
      <c r="D126" s="2"/>
      <c r="E126" s="14"/>
      <c r="F126" s="2"/>
      <c r="G126" s="2"/>
      <c r="H126" s="2"/>
      <c r="I126" s="2"/>
      <c r="J126" s="2"/>
      <c r="K126" s="2"/>
      <c r="L126" s="2"/>
      <c r="M126" s="2"/>
      <c r="N126" s="2"/>
      <c r="O126" s="2"/>
    </row>
    <row r="127" spans="2:41" ht="14">
      <c r="B127" s="17"/>
      <c r="C127" s="2"/>
      <c r="D127" s="2"/>
      <c r="E127" s="14"/>
      <c r="F127" s="2"/>
      <c r="G127" s="2"/>
      <c r="H127" s="2"/>
      <c r="I127" s="2"/>
      <c r="J127" s="2"/>
      <c r="K127" s="2"/>
      <c r="L127" s="2"/>
      <c r="M127" s="2"/>
      <c r="N127" s="2"/>
      <c r="O127" s="2"/>
    </row>
    <row r="128" spans="2:41" ht="14">
      <c r="B128" s="17"/>
      <c r="C128" s="2"/>
      <c r="D128" s="2"/>
      <c r="E128" s="14"/>
      <c r="F128" s="2"/>
      <c r="G128" s="2"/>
      <c r="H128" s="2"/>
      <c r="I128" s="2"/>
      <c r="J128" s="2"/>
      <c r="K128" s="2"/>
      <c r="L128" s="2"/>
      <c r="M128" s="2"/>
      <c r="N128" s="2"/>
      <c r="O128" s="2"/>
    </row>
    <row r="129" spans="2:15" ht="14">
      <c r="B129" s="17"/>
      <c r="C129" s="2"/>
      <c r="D129" s="2"/>
      <c r="E129" s="14"/>
      <c r="F129" s="2"/>
      <c r="G129" s="2"/>
      <c r="H129" s="2"/>
      <c r="I129" s="2"/>
      <c r="J129" s="2"/>
      <c r="K129" s="2"/>
      <c r="L129" s="2"/>
      <c r="M129" s="2"/>
      <c r="N129" s="2"/>
      <c r="O129" s="2"/>
    </row>
    <row r="130" spans="2:15" ht="14">
      <c r="B130" s="17"/>
      <c r="C130" s="2"/>
      <c r="D130" s="2"/>
      <c r="E130" s="14"/>
      <c r="F130" s="2"/>
      <c r="G130" s="2"/>
      <c r="H130" s="2"/>
      <c r="I130" s="2"/>
      <c r="J130" s="2"/>
      <c r="K130" s="2"/>
      <c r="L130" s="2"/>
      <c r="M130" s="2"/>
      <c r="N130" s="2"/>
      <c r="O130" s="2"/>
    </row>
    <row r="131" spans="2:15" ht="14">
      <c r="B131" s="17"/>
      <c r="C131" s="2"/>
      <c r="D131" s="2"/>
      <c r="E131" s="14"/>
      <c r="F131" s="2"/>
      <c r="G131" s="2"/>
      <c r="H131" s="2"/>
      <c r="I131" s="2"/>
      <c r="J131" s="2"/>
      <c r="K131" s="2"/>
      <c r="L131" s="2"/>
      <c r="M131" s="2"/>
      <c r="N131" s="2"/>
      <c r="O131" s="2"/>
    </row>
    <row r="132" spans="2:15" ht="14">
      <c r="B132" s="17"/>
      <c r="C132" s="2"/>
      <c r="D132" s="2"/>
      <c r="E132" s="14"/>
      <c r="F132" s="2"/>
      <c r="G132" s="2"/>
      <c r="H132" s="2"/>
      <c r="I132" s="2"/>
      <c r="J132" s="2"/>
      <c r="K132" s="2"/>
      <c r="L132" s="2"/>
      <c r="M132" s="2"/>
      <c r="N132" s="2"/>
      <c r="O132" s="2"/>
    </row>
    <row r="133" spans="2:15" ht="14">
      <c r="B133" s="17"/>
      <c r="C133" s="2"/>
      <c r="D133" s="2"/>
      <c r="E133" s="14"/>
      <c r="F133" s="2"/>
      <c r="G133" s="2"/>
      <c r="H133" s="2"/>
      <c r="I133" s="2"/>
      <c r="J133" s="2"/>
      <c r="K133" s="2"/>
      <c r="L133" s="2"/>
      <c r="M133" s="2"/>
      <c r="N133" s="2"/>
      <c r="O133" s="2"/>
    </row>
    <row r="134" spans="2:15" ht="14">
      <c r="B134" s="17"/>
      <c r="C134" s="2"/>
      <c r="D134" s="2"/>
      <c r="E134" s="14"/>
      <c r="F134" s="2"/>
      <c r="G134" s="2"/>
      <c r="H134" s="2"/>
      <c r="I134" s="2"/>
      <c r="J134" s="2"/>
      <c r="K134" s="2"/>
      <c r="L134" s="2"/>
      <c r="M134" s="2"/>
      <c r="N134" s="2"/>
      <c r="O134" s="2"/>
    </row>
    <row r="135" spans="2:15" ht="14">
      <c r="B135" s="17"/>
      <c r="C135" s="2"/>
      <c r="D135" s="2"/>
      <c r="E135" s="14"/>
      <c r="F135" s="2"/>
      <c r="G135" s="2"/>
      <c r="H135" s="2"/>
      <c r="I135" s="2"/>
      <c r="J135" s="2"/>
      <c r="K135" s="2"/>
      <c r="L135" s="2"/>
      <c r="M135" s="2"/>
      <c r="N135" s="2"/>
      <c r="O135" s="2"/>
    </row>
    <row r="136" spans="2:15" ht="14">
      <c r="B136" s="17"/>
      <c r="C136" s="2"/>
      <c r="D136" s="2"/>
      <c r="E136" s="14"/>
      <c r="F136" s="2"/>
      <c r="G136" s="2"/>
      <c r="H136" s="2"/>
      <c r="I136" s="2"/>
      <c r="J136" s="2"/>
      <c r="K136" s="2"/>
      <c r="L136" s="2"/>
      <c r="M136" s="2"/>
      <c r="N136" s="2"/>
      <c r="O136" s="2"/>
    </row>
    <row r="137" spans="2:15" ht="14">
      <c r="B137" s="17"/>
      <c r="C137" s="2"/>
      <c r="D137" s="2"/>
      <c r="E137" s="14"/>
      <c r="F137" s="2"/>
      <c r="G137" s="2"/>
      <c r="H137" s="2"/>
      <c r="I137" s="2"/>
      <c r="J137" s="2"/>
      <c r="K137" s="2"/>
      <c r="L137" s="2"/>
      <c r="M137" s="2"/>
      <c r="N137" s="2"/>
      <c r="O137" s="2"/>
    </row>
    <row r="138" spans="2:15" ht="14">
      <c r="B138" s="17"/>
      <c r="C138" s="2"/>
      <c r="D138" s="2"/>
      <c r="E138" s="14"/>
      <c r="F138" s="2"/>
      <c r="G138" s="2"/>
      <c r="H138" s="2"/>
      <c r="I138" s="2"/>
      <c r="J138" s="2"/>
      <c r="K138" s="2"/>
      <c r="L138" s="2"/>
      <c r="M138" s="2"/>
      <c r="N138" s="2"/>
      <c r="O138" s="2"/>
    </row>
    <row r="139" spans="2:15" ht="14">
      <c r="B139" s="17"/>
      <c r="C139" s="2"/>
      <c r="D139" s="2"/>
      <c r="E139" s="14"/>
      <c r="F139" s="2"/>
      <c r="G139" s="2"/>
      <c r="H139" s="2"/>
      <c r="I139" s="2"/>
      <c r="J139" s="2"/>
      <c r="K139" s="2"/>
      <c r="L139" s="2"/>
      <c r="M139" s="2"/>
      <c r="N139" s="2"/>
      <c r="O139" s="2"/>
    </row>
    <row r="140" spans="2:15" ht="14">
      <c r="B140" s="17"/>
      <c r="C140" s="2"/>
      <c r="D140" s="2"/>
      <c r="E140" s="14"/>
      <c r="F140" s="2"/>
      <c r="G140" s="2"/>
      <c r="H140" s="2"/>
      <c r="I140" s="2"/>
      <c r="J140" s="2"/>
      <c r="K140" s="2"/>
      <c r="L140" s="2"/>
      <c r="M140" s="2"/>
      <c r="N140" s="2"/>
      <c r="O140" s="2"/>
    </row>
    <row r="141" spans="2:15" ht="14">
      <c r="B141" s="17"/>
      <c r="C141" s="2"/>
      <c r="D141" s="2"/>
      <c r="E141" s="14"/>
      <c r="F141" s="2"/>
      <c r="G141" s="2"/>
      <c r="H141" s="2"/>
      <c r="I141" s="2"/>
      <c r="J141" s="2"/>
      <c r="K141" s="2"/>
      <c r="L141" s="2"/>
      <c r="M141" s="2"/>
      <c r="N141" s="2"/>
      <c r="O141" s="2"/>
    </row>
    <row r="142" spans="2:15" ht="14">
      <c r="B142" s="17"/>
      <c r="C142" s="2"/>
      <c r="D142" s="2"/>
      <c r="E142" s="14"/>
      <c r="F142" s="2"/>
      <c r="G142" s="2"/>
      <c r="H142" s="2"/>
      <c r="I142" s="2"/>
      <c r="J142" s="2"/>
      <c r="K142" s="2"/>
      <c r="L142" s="2"/>
      <c r="M142" s="2"/>
      <c r="N142" s="2"/>
      <c r="O142" s="2"/>
    </row>
    <row r="143" spans="2:15" ht="14">
      <c r="B143" s="17"/>
      <c r="C143" s="2"/>
      <c r="D143" s="2"/>
      <c r="E143" s="14"/>
      <c r="F143" s="2"/>
      <c r="G143" s="2"/>
      <c r="H143" s="2"/>
      <c r="I143" s="2"/>
      <c r="J143" s="2"/>
      <c r="K143" s="2"/>
      <c r="L143" s="2"/>
      <c r="M143" s="2"/>
      <c r="N143" s="2"/>
      <c r="O143" s="2"/>
    </row>
    <row r="144" spans="2:15" ht="14">
      <c r="B144" s="17"/>
      <c r="C144" s="2"/>
      <c r="D144" s="2"/>
      <c r="E144" s="14"/>
      <c r="F144" s="2"/>
      <c r="G144" s="2"/>
      <c r="H144" s="2"/>
      <c r="I144" s="2"/>
      <c r="J144" s="2"/>
      <c r="K144" s="2"/>
      <c r="L144" s="2"/>
      <c r="M144" s="2"/>
      <c r="N144" s="2"/>
      <c r="O144" s="2"/>
    </row>
    <row r="145" spans="2:15" ht="14">
      <c r="B145" s="17"/>
      <c r="C145" s="2"/>
      <c r="D145" s="2"/>
      <c r="E145" s="14"/>
      <c r="F145" s="2"/>
      <c r="G145" s="2"/>
      <c r="H145" s="2"/>
      <c r="I145" s="2"/>
      <c r="J145" s="2"/>
      <c r="K145" s="2"/>
      <c r="L145" s="2"/>
      <c r="M145" s="2"/>
      <c r="N145" s="2"/>
      <c r="O145" s="2"/>
    </row>
    <row r="146" spans="2:15" ht="14">
      <c r="B146" s="17"/>
      <c r="C146" s="2"/>
      <c r="D146" s="2"/>
      <c r="E146" s="14"/>
      <c r="F146" s="2"/>
      <c r="G146" s="2"/>
      <c r="H146" s="2"/>
      <c r="I146" s="2"/>
      <c r="J146" s="2"/>
      <c r="K146" s="2"/>
      <c r="L146" s="2"/>
      <c r="M146" s="2"/>
      <c r="N146" s="2"/>
      <c r="O146" s="2"/>
    </row>
    <row r="147" spans="2:15" ht="14">
      <c r="B147" s="17"/>
      <c r="C147" s="2"/>
      <c r="D147" s="2"/>
      <c r="E147" s="14"/>
      <c r="F147" s="2"/>
      <c r="G147" s="2"/>
      <c r="H147" s="2"/>
      <c r="I147" s="2"/>
      <c r="J147" s="2"/>
      <c r="K147" s="2"/>
      <c r="L147" s="2"/>
      <c r="M147" s="2"/>
      <c r="N147" s="2"/>
      <c r="O147" s="2"/>
    </row>
    <row r="148" spans="2:15" ht="14">
      <c r="B148" s="17"/>
      <c r="C148" s="2"/>
      <c r="D148" s="2"/>
      <c r="E148" s="14"/>
      <c r="F148" s="2"/>
      <c r="G148" s="2"/>
      <c r="H148" s="2"/>
      <c r="I148" s="2"/>
      <c r="J148" s="2"/>
      <c r="K148" s="2"/>
      <c r="L148" s="2"/>
      <c r="M148" s="2"/>
      <c r="N148" s="2"/>
      <c r="O148" s="2"/>
    </row>
    <row r="149" spans="2:15" ht="14">
      <c r="B149" s="17"/>
      <c r="C149" s="2"/>
      <c r="D149" s="2"/>
      <c r="E149" s="14"/>
      <c r="F149" s="2"/>
      <c r="G149" s="2"/>
      <c r="H149" s="2"/>
      <c r="I149" s="2"/>
      <c r="J149" s="2"/>
      <c r="K149" s="2"/>
      <c r="L149" s="2"/>
      <c r="M149" s="2"/>
      <c r="N149" s="2"/>
      <c r="O149" s="2"/>
    </row>
    <row r="150" spans="2:15" ht="14">
      <c r="B150" s="17"/>
      <c r="C150" s="2"/>
      <c r="D150" s="2"/>
      <c r="E150" s="14"/>
      <c r="F150" s="2"/>
      <c r="G150" s="2"/>
      <c r="H150" s="2"/>
      <c r="I150" s="2"/>
      <c r="J150" s="2"/>
      <c r="K150" s="2"/>
      <c r="L150" s="2"/>
      <c r="M150" s="2"/>
      <c r="N150" s="2"/>
      <c r="O150" s="2"/>
    </row>
    <row r="151" spans="2:15" ht="14">
      <c r="B151" s="17"/>
      <c r="C151" s="2"/>
      <c r="D151" s="2"/>
      <c r="E151" s="14"/>
      <c r="F151" s="2"/>
      <c r="G151" s="2"/>
      <c r="H151" s="2"/>
      <c r="I151" s="2"/>
      <c r="J151" s="2"/>
      <c r="K151" s="2"/>
      <c r="L151" s="2"/>
      <c r="M151" s="2"/>
      <c r="N151" s="2"/>
      <c r="O151" s="2"/>
    </row>
    <row r="152" spans="2:15" ht="14">
      <c r="B152" s="17"/>
      <c r="C152" s="2"/>
      <c r="D152" s="2"/>
      <c r="E152" s="14"/>
      <c r="F152" s="2"/>
      <c r="G152" s="2"/>
      <c r="H152" s="2"/>
      <c r="I152" s="2"/>
      <c r="J152" s="2"/>
      <c r="K152" s="2"/>
      <c r="L152" s="2"/>
      <c r="M152" s="2"/>
      <c r="N152" s="2"/>
      <c r="O152" s="2"/>
    </row>
    <row r="153" spans="2:15" ht="14">
      <c r="B153" s="17"/>
      <c r="C153" s="2"/>
      <c r="D153" s="2"/>
      <c r="E153" s="14"/>
      <c r="F153" s="2"/>
      <c r="G153" s="2"/>
      <c r="H153" s="2"/>
      <c r="I153" s="2"/>
      <c r="J153" s="2"/>
      <c r="K153" s="2"/>
      <c r="L153" s="2"/>
      <c r="M153" s="2"/>
      <c r="N153" s="2"/>
      <c r="O153" s="2"/>
    </row>
    <row r="154" spans="2:15" ht="14">
      <c r="B154" s="17"/>
      <c r="C154" s="2"/>
      <c r="D154" s="2"/>
      <c r="E154" s="14"/>
      <c r="F154" s="2"/>
      <c r="G154" s="2"/>
      <c r="H154" s="2"/>
      <c r="I154" s="2"/>
      <c r="J154" s="2"/>
      <c r="K154" s="2"/>
      <c r="L154" s="2"/>
      <c r="M154" s="2"/>
      <c r="N154" s="2"/>
      <c r="O154" s="2"/>
    </row>
    <row r="155" spans="2:15" ht="14">
      <c r="B155" s="17"/>
      <c r="C155" s="2"/>
      <c r="D155" s="2"/>
      <c r="E155" s="14"/>
      <c r="F155" s="2"/>
      <c r="G155" s="2"/>
      <c r="H155" s="2"/>
      <c r="I155" s="2"/>
      <c r="J155" s="2"/>
      <c r="K155" s="2"/>
      <c r="L155" s="2"/>
      <c r="M155" s="2"/>
      <c r="N155" s="2"/>
      <c r="O155" s="2"/>
    </row>
    <row r="156" spans="2:15" ht="14">
      <c r="B156" s="17"/>
      <c r="C156" s="2"/>
      <c r="D156" s="2"/>
      <c r="E156" s="14"/>
      <c r="F156" s="2"/>
      <c r="G156" s="2"/>
      <c r="H156" s="2"/>
      <c r="I156" s="2"/>
      <c r="J156" s="2"/>
      <c r="K156" s="2"/>
      <c r="L156" s="2"/>
      <c r="M156" s="2"/>
      <c r="N156" s="2"/>
      <c r="O156" s="2"/>
    </row>
    <row r="157" spans="2:15" ht="14">
      <c r="B157" s="17"/>
      <c r="C157" s="2"/>
      <c r="D157" s="2"/>
      <c r="E157" s="14"/>
      <c r="F157" s="2"/>
      <c r="G157" s="2"/>
      <c r="H157" s="2"/>
      <c r="I157" s="2"/>
      <c r="J157" s="2"/>
      <c r="K157" s="2"/>
      <c r="L157" s="2"/>
      <c r="M157" s="2"/>
      <c r="N157" s="2"/>
      <c r="O157" s="2"/>
    </row>
    <row r="158" spans="2:15" ht="14">
      <c r="B158" s="17"/>
      <c r="C158" s="2"/>
      <c r="D158" s="2"/>
      <c r="E158" s="14"/>
      <c r="F158" s="2"/>
      <c r="G158" s="2"/>
      <c r="H158" s="2"/>
      <c r="I158" s="2"/>
      <c r="J158" s="2"/>
      <c r="K158" s="2"/>
      <c r="L158" s="2"/>
      <c r="M158" s="2"/>
      <c r="N158" s="2"/>
      <c r="O158" s="2"/>
    </row>
    <row r="159" spans="2:15" ht="14">
      <c r="B159" s="17"/>
      <c r="C159" s="2"/>
      <c r="D159" s="2"/>
      <c r="E159" s="14"/>
      <c r="F159" s="2"/>
      <c r="G159" s="2"/>
      <c r="H159" s="2"/>
      <c r="I159" s="2"/>
      <c r="J159" s="2"/>
      <c r="K159" s="2"/>
      <c r="L159" s="2"/>
      <c r="M159" s="2"/>
      <c r="N159" s="2"/>
      <c r="O159" s="2"/>
    </row>
    <row r="160" spans="2:15" ht="14">
      <c r="B160" s="17"/>
      <c r="C160" s="2"/>
      <c r="D160" s="2"/>
      <c r="E160" s="14"/>
      <c r="F160" s="2"/>
      <c r="G160" s="2"/>
      <c r="H160" s="2"/>
      <c r="I160" s="2"/>
      <c r="J160" s="2"/>
      <c r="K160" s="2"/>
      <c r="L160" s="2"/>
      <c r="M160" s="2"/>
      <c r="N160" s="2"/>
      <c r="O160" s="2"/>
    </row>
    <row r="161" spans="2:15" ht="14">
      <c r="B161" s="17"/>
      <c r="C161" s="2"/>
      <c r="D161" s="2"/>
      <c r="E161" s="14"/>
      <c r="F161" s="2"/>
      <c r="G161" s="2"/>
      <c r="H161" s="2"/>
      <c r="I161" s="2"/>
      <c r="J161" s="2"/>
      <c r="K161" s="2"/>
      <c r="L161" s="2"/>
      <c r="M161" s="2"/>
      <c r="N161" s="2"/>
      <c r="O161" s="2"/>
    </row>
    <row r="162" spans="2:15" ht="14">
      <c r="B162" s="17"/>
      <c r="C162" s="2"/>
      <c r="D162" s="2"/>
      <c r="E162" s="14"/>
      <c r="F162" s="2"/>
      <c r="G162" s="2"/>
      <c r="H162" s="2"/>
      <c r="I162" s="2"/>
      <c r="J162" s="2"/>
      <c r="K162" s="2"/>
      <c r="L162" s="2"/>
      <c r="M162" s="2"/>
      <c r="N162" s="2"/>
      <c r="O162" s="2"/>
    </row>
    <row r="163" spans="2:15" ht="14">
      <c r="B163" s="17"/>
      <c r="C163" s="2"/>
      <c r="D163" s="2"/>
      <c r="E163" s="14"/>
      <c r="F163" s="2"/>
      <c r="G163" s="2"/>
      <c r="H163" s="2"/>
      <c r="I163" s="2"/>
      <c r="J163" s="2"/>
      <c r="K163" s="2"/>
      <c r="L163" s="2"/>
      <c r="M163" s="2"/>
      <c r="N163" s="2"/>
      <c r="O163" s="2"/>
    </row>
    <row r="164" spans="2:15" ht="14">
      <c r="B164" s="17"/>
      <c r="C164" s="2"/>
      <c r="D164" s="2"/>
      <c r="E164" s="14"/>
      <c r="F164" s="2"/>
      <c r="G164" s="2"/>
      <c r="H164" s="2"/>
      <c r="I164" s="2"/>
      <c r="J164" s="2"/>
      <c r="K164" s="2"/>
      <c r="L164" s="2"/>
      <c r="M164" s="2"/>
      <c r="N164" s="2"/>
      <c r="O164" s="2"/>
    </row>
    <row r="165" spans="2:15" ht="14">
      <c r="B165" s="17"/>
      <c r="C165" s="2"/>
      <c r="D165" s="2"/>
      <c r="E165" s="14"/>
      <c r="F165" s="2"/>
      <c r="G165" s="2"/>
      <c r="H165" s="2"/>
      <c r="I165" s="2"/>
      <c r="J165" s="2"/>
      <c r="K165" s="2"/>
      <c r="L165" s="2"/>
      <c r="M165" s="2"/>
      <c r="N165" s="2"/>
      <c r="O165" s="2"/>
    </row>
    <row r="166" spans="2:15" ht="14">
      <c r="B166" s="17"/>
      <c r="C166" s="2"/>
      <c r="D166" s="2"/>
      <c r="E166" s="14"/>
      <c r="F166" s="2"/>
      <c r="G166" s="2"/>
      <c r="H166" s="2"/>
      <c r="I166" s="2"/>
      <c r="J166" s="2"/>
      <c r="K166" s="2"/>
      <c r="L166" s="2"/>
      <c r="M166" s="2"/>
      <c r="N166" s="2"/>
      <c r="O166" s="2"/>
    </row>
    <row r="167" spans="2:15" ht="14">
      <c r="B167" s="17"/>
      <c r="C167" s="2"/>
      <c r="D167" s="2"/>
      <c r="E167" s="14"/>
      <c r="F167" s="2"/>
      <c r="G167" s="2"/>
      <c r="H167" s="2"/>
      <c r="I167" s="2"/>
      <c r="J167" s="2"/>
      <c r="K167" s="2"/>
      <c r="L167" s="2"/>
      <c r="M167" s="2"/>
      <c r="N167" s="2"/>
      <c r="O167" s="2"/>
    </row>
    <row r="168" spans="2:15" ht="14">
      <c r="B168" s="17"/>
      <c r="C168" s="2"/>
      <c r="D168" s="2"/>
      <c r="E168" s="14"/>
      <c r="F168" s="2"/>
      <c r="G168" s="2"/>
      <c r="H168" s="2"/>
      <c r="I168" s="2"/>
      <c r="J168" s="2"/>
      <c r="K168" s="2"/>
      <c r="L168" s="2"/>
      <c r="M168" s="2"/>
      <c r="N168" s="2"/>
      <c r="O168" s="2"/>
    </row>
    <row r="169" spans="2:15" ht="14">
      <c r="B169" s="17"/>
      <c r="C169" s="2"/>
      <c r="D169" s="2"/>
      <c r="E169" s="14"/>
      <c r="F169" s="2"/>
      <c r="G169" s="2"/>
      <c r="H169" s="2"/>
      <c r="I169" s="2"/>
      <c r="J169" s="2"/>
      <c r="K169" s="2"/>
      <c r="L169" s="2"/>
      <c r="M169" s="2"/>
      <c r="N169" s="2"/>
      <c r="O169" s="2"/>
    </row>
    <row r="170" spans="2:15" ht="14">
      <c r="B170" s="17"/>
      <c r="C170" s="2"/>
      <c r="D170" s="2"/>
      <c r="E170" s="14"/>
      <c r="F170" s="2"/>
      <c r="G170" s="2"/>
      <c r="H170" s="2"/>
      <c r="I170" s="2"/>
      <c r="J170" s="2"/>
      <c r="K170" s="2"/>
      <c r="L170" s="2"/>
      <c r="M170" s="2"/>
      <c r="N170" s="2"/>
      <c r="O170" s="2"/>
    </row>
    <row r="171" spans="2:15" ht="14">
      <c r="B171" s="17"/>
      <c r="C171" s="2"/>
      <c r="D171" s="2"/>
      <c r="E171" s="14"/>
      <c r="F171" s="2"/>
      <c r="G171" s="2"/>
      <c r="H171" s="2"/>
      <c r="I171" s="2"/>
      <c r="J171" s="2"/>
      <c r="K171" s="2"/>
      <c r="L171" s="2"/>
      <c r="M171" s="2"/>
      <c r="N171" s="2"/>
      <c r="O171" s="2"/>
    </row>
    <row r="172" spans="2:15" ht="14">
      <c r="B172" s="17"/>
      <c r="C172" s="2"/>
      <c r="D172" s="2"/>
      <c r="E172" s="14"/>
      <c r="F172" s="2"/>
      <c r="G172" s="2"/>
      <c r="H172" s="2"/>
      <c r="I172" s="2"/>
      <c r="J172" s="2"/>
      <c r="K172" s="2"/>
      <c r="L172" s="2"/>
      <c r="M172" s="2"/>
      <c r="N172" s="2"/>
      <c r="O172" s="2"/>
    </row>
    <row r="173" spans="2:15" ht="14">
      <c r="B173" s="17"/>
      <c r="C173" s="2"/>
      <c r="D173" s="2"/>
      <c r="E173" s="14"/>
      <c r="F173" s="2"/>
      <c r="G173" s="2"/>
      <c r="H173" s="2"/>
      <c r="I173" s="2"/>
      <c r="J173" s="2"/>
      <c r="K173" s="2"/>
      <c r="L173" s="2"/>
      <c r="M173" s="2"/>
      <c r="N173" s="2"/>
      <c r="O173" s="2"/>
    </row>
    <row r="174" spans="2:15" ht="14">
      <c r="B174" s="17"/>
      <c r="C174" s="2"/>
      <c r="D174" s="2"/>
      <c r="E174" s="14"/>
      <c r="F174" s="2"/>
      <c r="G174" s="2"/>
      <c r="H174" s="2"/>
      <c r="I174" s="2"/>
      <c r="J174" s="2"/>
      <c r="K174" s="2"/>
      <c r="L174" s="2"/>
      <c r="M174" s="2"/>
      <c r="N174" s="2"/>
      <c r="O174" s="2"/>
    </row>
    <row r="175" spans="2:15" ht="14">
      <c r="B175" s="17"/>
      <c r="C175" s="2"/>
      <c r="D175" s="2"/>
      <c r="E175" s="14"/>
      <c r="F175" s="2"/>
      <c r="G175" s="2"/>
      <c r="H175" s="2"/>
      <c r="I175" s="2"/>
      <c r="J175" s="2"/>
      <c r="K175" s="2"/>
      <c r="L175" s="2"/>
      <c r="M175" s="2"/>
      <c r="N175" s="2"/>
      <c r="O175" s="2"/>
    </row>
    <row r="176" spans="2:15" ht="14">
      <c r="B176" s="17"/>
      <c r="C176" s="2"/>
      <c r="D176" s="2"/>
      <c r="E176" s="14"/>
      <c r="F176" s="2"/>
      <c r="G176" s="2"/>
      <c r="H176" s="2"/>
      <c r="I176" s="2"/>
      <c r="J176" s="2"/>
      <c r="K176" s="2"/>
      <c r="L176" s="2"/>
      <c r="M176" s="2"/>
      <c r="N176" s="2"/>
      <c r="O176" s="2"/>
    </row>
    <row r="177" spans="2:15" ht="14">
      <c r="B177" s="17"/>
      <c r="C177" s="2"/>
      <c r="D177" s="2"/>
      <c r="E177" s="14"/>
      <c r="F177" s="2"/>
      <c r="G177" s="2"/>
      <c r="H177" s="2"/>
      <c r="I177" s="2"/>
      <c r="J177" s="2"/>
      <c r="K177" s="2"/>
      <c r="L177" s="2"/>
      <c r="M177" s="2"/>
      <c r="N177" s="2"/>
      <c r="O177" s="2"/>
    </row>
    <row r="178" spans="2:15" ht="14">
      <c r="B178" s="17"/>
      <c r="C178" s="2"/>
      <c r="D178" s="2"/>
      <c r="E178" s="14"/>
      <c r="F178" s="2"/>
      <c r="G178" s="2"/>
      <c r="H178" s="2"/>
      <c r="I178" s="2"/>
      <c r="J178" s="2"/>
      <c r="K178" s="2"/>
      <c r="L178" s="2"/>
      <c r="M178" s="2"/>
      <c r="N178" s="2"/>
      <c r="O178" s="2"/>
    </row>
    <row r="179" spans="2:15" ht="14">
      <c r="B179" s="17"/>
      <c r="C179" s="2"/>
      <c r="D179" s="2"/>
      <c r="E179" s="14"/>
      <c r="F179" s="2"/>
      <c r="G179" s="2"/>
      <c r="H179" s="2"/>
      <c r="I179" s="2"/>
      <c r="J179" s="2"/>
      <c r="K179" s="2"/>
      <c r="L179" s="2"/>
      <c r="M179" s="2"/>
      <c r="N179" s="2"/>
      <c r="O179" s="2"/>
    </row>
    <row r="180" spans="2:15" ht="14">
      <c r="B180" s="17"/>
      <c r="C180" s="2"/>
      <c r="D180" s="2"/>
      <c r="E180" s="14"/>
      <c r="F180" s="2"/>
      <c r="G180" s="2"/>
      <c r="H180" s="2"/>
      <c r="I180" s="2"/>
      <c r="J180" s="2"/>
      <c r="K180" s="2"/>
      <c r="L180" s="2"/>
      <c r="M180" s="2"/>
      <c r="N180" s="2"/>
      <c r="O180" s="2"/>
    </row>
    <row r="181" spans="2:15" ht="14">
      <c r="B181" s="17"/>
      <c r="C181" s="2"/>
      <c r="D181" s="2"/>
      <c r="E181" s="14"/>
      <c r="F181" s="2"/>
      <c r="G181" s="2"/>
      <c r="H181" s="2"/>
      <c r="I181" s="2"/>
      <c r="J181" s="2"/>
      <c r="K181" s="2"/>
      <c r="L181" s="2"/>
      <c r="M181" s="2"/>
      <c r="N181" s="2"/>
      <c r="O181" s="2"/>
    </row>
    <row r="182" spans="2:15" ht="14">
      <c r="B182" s="17"/>
      <c r="C182" s="2"/>
      <c r="D182" s="2"/>
      <c r="E182" s="14"/>
      <c r="F182" s="2"/>
      <c r="G182" s="2"/>
      <c r="H182" s="2"/>
      <c r="I182" s="2"/>
      <c r="J182" s="2"/>
      <c r="K182" s="2"/>
      <c r="L182" s="2"/>
      <c r="M182" s="2"/>
      <c r="N182" s="2"/>
      <c r="O182" s="2"/>
    </row>
    <row r="183" spans="2:15" ht="14">
      <c r="B183" s="17"/>
      <c r="C183" s="2"/>
      <c r="D183" s="2"/>
      <c r="E183" s="14"/>
      <c r="F183" s="2"/>
      <c r="G183" s="2"/>
      <c r="H183" s="2"/>
      <c r="I183" s="2"/>
      <c r="J183" s="2"/>
      <c r="K183" s="2"/>
      <c r="L183" s="2"/>
      <c r="M183" s="2"/>
      <c r="N183" s="2"/>
      <c r="O183" s="2"/>
    </row>
    <row r="184" spans="2:15" ht="14">
      <c r="B184" s="17"/>
      <c r="C184" s="2"/>
      <c r="D184" s="2"/>
      <c r="E184" s="14"/>
      <c r="F184" s="2"/>
      <c r="G184" s="2"/>
      <c r="H184" s="2"/>
      <c r="I184" s="2"/>
      <c r="J184" s="2"/>
      <c r="K184" s="2"/>
      <c r="L184" s="2"/>
      <c r="M184" s="2"/>
      <c r="N184" s="2"/>
      <c r="O184" s="2"/>
    </row>
    <row r="185" spans="2:15" ht="14">
      <c r="B185" s="17"/>
      <c r="C185" s="2"/>
      <c r="D185" s="2"/>
      <c r="E185" s="14"/>
      <c r="F185" s="2"/>
      <c r="G185" s="2"/>
      <c r="H185" s="2"/>
      <c r="I185" s="2"/>
      <c r="J185" s="2"/>
      <c r="K185" s="2"/>
      <c r="L185" s="2"/>
      <c r="M185" s="2"/>
      <c r="N185" s="2"/>
      <c r="O185" s="2"/>
    </row>
    <row r="186" spans="2:15" ht="14">
      <c r="B186" s="17"/>
      <c r="C186" s="2"/>
      <c r="D186" s="2"/>
      <c r="E186" s="14"/>
      <c r="F186" s="2"/>
      <c r="G186" s="2"/>
      <c r="H186" s="2"/>
      <c r="I186" s="2"/>
      <c r="J186" s="2"/>
      <c r="K186" s="2"/>
      <c r="L186" s="2"/>
      <c r="M186" s="2"/>
      <c r="N186" s="2"/>
      <c r="O186" s="2"/>
    </row>
    <row r="187" spans="2:15" ht="14">
      <c r="B187" s="17"/>
      <c r="C187" s="2"/>
      <c r="D187" s="2"/>
      <c r="E187" s="14"/>
      <c r="F187" s="2"/>
      <c r="G187" s="2"/>
      <c r="H187" s="2"/>
      <c r="I187" s="2"/>
      <c r="J187" s="2"/>
      <c r="K187" s="2"/>
      <c r="L187" s="2"/>
      <c r="M187" s="2"/>
      <c r="N187" s="2"/>
      <c r="O187" s="2"/>
    </row>
    <row r="188" spans="2:15" ht="14">
      <c r="B188" s="17"/>
      <c r="C188" s="2"/>
      <c r="D188" s="2"/>
      <c r="E188" s="14"/>
      <c r="F188" s="2"/>
      <c r="G188" s="2"/>
      <c r="H188" s="2"/>
      <c r="I188" s="2"/>
      <c r="J188" s="2"/>
      <c r="K188" s="2"/>
      <c r="L188" s="2"/>
      <c r="M188" s="2"/>
      <c r="N188" s="2"/>
      <c r="O188" s="2"/>
    </row>
    <row r="189" spans="2:15" ht="14">
      <c r="B189" s="17"/>
      <c r="C189" s="2"/>
      <c r="D189" s="2"/>
      <c r="E189" s="14"/>
      <c r="F189" s="2"/>
      <c r="G189" s="2"/>
      <c r="H189" s="2"/>
      <c r="I189" s="2"/>
      <c r="J189" s="2"/>
      <c r="K189" s="2"/>
      <c r="L189" s="2"/>
      <c r="M189" s="2"/>
      <c r="N189" s="2"/>
      <c r="O189" s="2"/>
    </row>
    <row r="190" spans="2:15" ht="14">
      <c r="B190" s="17"/>
      <c r="C190" s="2"/>
      <c r="D190" s="2"/>
      <c r="E190" s="14"/>
      <c r="F190" s="2"/>
      <c r="G190" s="2"/>
      <c r="H190" s="2"/>
      <c r="I190" s="2"/>
      <c r="J190" s="2"/>
      <c r="K190" s="2"/>
      <c r="L190" s="2"/>
      <c r="M190" s="2"/>
      <c r="N190" s="2"/>
      <c r="O190" s="2"/>
    </row>
    <row r="191" spans="2:15" ht="14">
      <c r="B191" s="17"/>
      <c r="C191" s="2"/>
      <c r="D191" s="2"/>
      <c r="E191" s="14"/>
      <c r="F191" s="2"/>
      <c r="G191" s="2"/>
      <c r="H191" s="2"/>
      <c r="I191" s="2"/>
      <c r="J191" s="2"/>
      <c r="K191" s="2"/>
      <c r="L191" s="2"/>
      <c r="M191" s="2"/>
      <c r="N191" s="2"/>
      <c r="O191" s="2"/>
    </row>
    <row r="192" spans="2:15" ht="14">
      <c r="B192" s="17"/>
      <c r="C192" s="2"/>
      <c r="D192" s="2"/>
      <c r="E192" s="14"/>
      <c r="F192" s="2"/>
      <c r="G192" s="2"/>
      <c r="H192" s="2"/>
      <c r="I192" s="2"/>
      <c r="J192" s="2"/>
      <c r="K192" s="2"/>
      <c r="L192" s="2"/>
      <c r="M192" s="2"/>
      <c r="N192" s="2"/>
      <c r="O192" s="2"/>
    </row>
    <row r="193" spans="2:15" ht="14">
      <c r="B193" s="17"/>
      <c r="C193" s="2"/>
      <c r="D193" s="2"/>
      <c r="E193" s="14"/>
      <c r="F193" s="2"/>
      <c r="G193" s="2"/>
      <c r="H193" s="2"/>
      <c r="I193" s="2"/>
      <c r="J193" s="2"/>
      <c r="K193" s="2"/>
      <c r="L193" s="2"/>
      <c r="M193" s="2"/>
      <c r="N193" s="2"/>
      <c r="O193" s="2"/>
    </row>
    <row r="194" spans="2:15" ht="14">
      <c r="B194" s="17"/>
      <c r="C194" s="2"/>
      <c r="D194" s="2"/>
      <c r="E194" s="14"/>
      <c r="F194" s="2"/>
      <c r="G194" s="2"/>
      <c r="H194" s="2"/>
      <c r="I194" s="2"/>
      <c r="J194" s="2"/>
      <c r="K194" s="2"/>
      <c r="L194" s="2"/>
      <c r="M194" s="2"/>
      <c r="N194" s="2"/>
      <c r="O194" s="2"/>
    </row>
    <row r="195" spans="2:15" ht="14">
      <c r="B195" s="17"/>
      <c r="C195" s="2"/>
      <c r="D195" s="2"/>
      <c r="E195" s="14"/>
      <c r="F195" s="2"/>
      <c r="G195" s="2"/>
      <c r="H195" s="2"/>
      <c r="I195" s="2"/>
      <c r="J195" s="2"/>
      <c r="K195" s="2"/>
      <c r="L195" s="2"/>
      <c r="M195" s="2"/>
      <c r="N195" s="2"/>
      <c r="O195" s="2"/>
    </row>
    <row r="196" spans="2:15" ht="14">
      <c r="B196" s="17"/>
      <c r="C196" s="2"/>
      <c r="D196" s="2"/>
      <c r="E196" s="14"/>
      <c r="F196" s="2"/>
      <c r="G196" s="2"/>
      <c r="H196" s="2"/>
      <c r="I196" s="2"/>
      <c r="J196" s="2"/>
      <c r="K196" s="2"/>
      <c r="L196" s="2"/>
      <c r="M196" s="2"/>
      <c r="N196" s="2"/>
      <c r="O196" s="2"/>
    </row>
    <row r="197" spans="2:15" ht="14">
      <c r="B197" s="17"/>
      <c r="C197" s="2"/>
      <c r="D197" s="2"/>
      <c r="E197" s="14"/>
      <c r="F197" s="2"/>
      <c r="G197" s="2"/>
      <c r="H197" s="2"/>
      <c r="I197" s="2"/>
      <c r="J197" s="2"/>
      <c r="K197" s="2"/>
      <c r="L197" s="2"/>
      <c r="M197" s="2"/>
      <c r="N197" s="2"/>
      <c r="O197" s="2"/>
    </row>
    <row r="198" spans="2:15" ht="14">
      <c r="B198" s="17"/>
      <c r="C198" s="2"/>
      <c r="D198" s="2"/>
      <c r="E198" s="14"/>
      <c r="F198" s="2"/>
      <c r="G198" s="2"/>
      <c r="H198" s="2"/>
      <c r="I198" s="2"/>
      <c r="J198" s="2"/>
      <c r="K198" s="2"/>
      <c r="L198" s="2"/>
      <c r="M198" s="2"/>
      <c r="N198" s="2"/>
      <c r="O198" s="2"/>
    </row>
    <row r="199" spans="2:15" ht="14">
      <c r="B199" s="17"/>
      <c r="C199" s="2"/>
      <c r="D199" s="2"/>
      <c r="E199" s="14"/>
      <c r="F199" s="2"/>
      <c r="G199" s="2"/>
      <c r="H199" s="2"/>
      <c r="I199" s="2"/>
      <c r="J199" s="2"/>
      <c r="K199" s="2"/>
      <c r="L199" s="2"/>
      <c r="M199" s="2"/>
      <c r="N199" s="2"/>
      <c r="O199" s="2"/>
    </row>
    <row r="200" spans="2:15" ht="14">
      <c r="B200" s="17"/>
      <c r="C200" s="2"/>
      <c r="D200" s="2"/>
      <c r="E200" s="14"/>
      <c r="F200" s="2"/>
      <c r="G200" s="2"/>
      <c r="H200" s="2"/>
      <c r="I200" s="2"/>
      <c r="J200" s="2"/>
      <c r="K200" s="2"/>
      <c r="L200" s="2"/>
      <c r="M200" s="2"/>
      <c r="N200" s="2"/>
      <c r="O200" s="2"/>
    </row>
    <row r="201" spans="2:15" ht="14">
      <c r="B201" s="17"/>
      <c r="C201" s="2"/>
      <c r="D201" s="2"/>
      <c r="E201" s="14"/>
      <c r="F201" s="2"/>
      <c r="G201" s="2"/>
      <c r="H201" s="2"/>
      <c r="I201" s="2"/>
      <c r="J201" s="2"/>
      <c r="K201" s="2"/>
      <c r="L201" s="2"/>
      <c r="M201" s="2"/>
      <c r="N201" s="2"/>
      <c r="O201" s="2"/>
    </row>
    <row r="202" spans="2:15" ht="14">
      <c r="B202" s="17"/>
      <c r="C202" s="2"/>
      <c r="D202" s="2"/>
      <c r="E202" s="14"/>
      <c r="F202" s="2"/>
      <c r="G202" s="2"/>
      <c r="H202" s="2"/>
      <c r="I202" s="2"/>
      <c r="J202" s="2"/>
      <c r="K202" s="2"/>
      <c r="L202" s="2"/>
      <c r="M202" s="2"/>
      <c r="N202" s="2"/>
      <c r="O202" s="2"/>
    </row>
    <row r="203" spans="2:15" ht="14">
      <c r="B203" s="17"/>
      <c r="C203" s="2"/>
      <c r="D203" s="2"/>
      <c r="E203" s="14"/>
      <c r="F203" s="2"/>
      <c r="G203" s="2"/>
      <c r="H203" s="2"/>
      <c r="I203" s="2"/>
      <c r="J203" s="2"/>
      <c r="K203" s="2"/>
      <c r="L203" s="2"/>
      <c r="M203" s="2"/>
      <c r="N203" s="2"/>
      <c r="O203" s="2"/>
    </row>
    <row r="204" spans="2:15" ht="14">
      <c r="B204" s="17"/>
      <c r="C204" s="2"/>
      <c r="D204" s="2"/>
      <c r="E204" s="14"/>
      <c r="F204" s="2"/>
      <c r="G204" s="2"/>
      <c r="H204" s="2"/>
      <c r="I204" s="2"/>
      <c r="J204" s="2"/>
      <c r="K204" s="2"/>
      <c r="L204" s="2"/>
      <c r="M204" s="2"/>
      <c r="N204" s="2"/>
      <c r="O204" s="2"/>
    </row>
    <row r="205" spans="2:15" ht="14">
      <c r="B205" s="17"/>
      <c r="C205" s="2"/>
      <c r="D205" s="2"/>
      <c r="E205" s="14"/>
      <c r="F205" s="2"/>
      <c r="G205" s="2"/>
      <c r="H205" s="2"/>
      <c r="I205" s="2"/>
      <c r="J205" s="2"/>
      <c r="K205" s="2"/>
      <c r="L205" s="2"/>
      <c r="M205" s="2"/>
      <c r="N205" s="2"/>
      <c r="O205" s="2"/>
    </row>
    <row r="206" spans="2:15" ht="14">
      <c r="B206" s="17"/>
      <c r="C206" s="2"/>
      <c r="D206" s="2"/>
      <c r="E206" s="14"/>
      <c r="F206" s="2"/>
      <c r="G206" s="2"/>
      <c r="H206" s="2"/>
      <c r="I206" s="2"/>
      <c r="J206" s="2"/>
      <c r="K206" s="2"/>
      <c r="L206" s="2"/>
      <c r="M206" s="2"/>
      <c r="N206" s="2"/>
      <c r="O206" s="2"/>
    </row>
    <row r="207" spans="2:15" ht="14">
      <c r="B207" s="17"/>
      <c r="C207" s="2"/>
      <c r="D207" s="2"/>
      <c r="E207" s="14"/>
      <c r="F207" s="2"/>
      <c r="G207" s="2"/>
      <c r="H207" s="2"/>
      <c r="I207" s="2"/>
      <c r="J207" s="2"/>
      <c r="K207" s="2"/>
      <c r="L207" s="2"/>
      <c r="M207" s="2"/>
      <c r="N207" s="2"/>
      <c r="O207" s="2"/>
    </row>
    <row r="208" spans="2:15" ht="14">
      <c r="B208" s="17"/>
      <c r="C208" s="2"/>
      <c r="D208" s="2"/>
      <c r="E208" s="14"/>
      <c r="F208" s="2"/>
      <c r="G208" s="2"/>
      <c r="H208" s="2"/>
      <c r="I208" s="2"/>
      <c r="J208" s="2"/>
      <c r="K208" s="2"/>
      <c r="L208" s="2"/>
      <c r="M208" s="2"/>
      <c r="N208" s="2"/>
      <c r="O208" s="2"/>
    </row>
    <row r="209" spans="2:15" ht="14">
      <c r="B209" s="17"/>
      <c r="C209" s="2"/>
      <c r="D209" s="2"/>
      <c r="E209" s="14"/>
      <c r="F209" s="2"/>
      <c r="G209" s="2"/>
      <c r="H209" s="2"/>
      <c r="I209" s="2"/>
      <c r="J209" s="2"/>
      <c r="K209" s="2"/>
      <c r="L209" s="2"/>
      <c r="M209" s="2"/>
      <c r="N209" s="2"/>
      <c r="O209" s="2"/>
    </row>
    <row r="210" spans="2:15" ht="14">
      <c r="B210" s="17"/>
      <c r="C210" s="2"/>
      <c r="D210" s="2"/>
      <c r="E210" s="14"/>
      <c r="F210" s="2"/>
      <c r="G210" s="2"/>
      <c r="H210" s="2"/>
      <c r="I210" s="2"/>
      <c r="J210" s="2"/>
      <c r="K210" s="2"/>
      <c r="L210" s="2"/>
      <c r="M210" s="2"/>
      <c r="N210" s="2"/>
      <c r="O210" s="2"/>
    </row>
    <row r="211" spans="2:15" ht="14">
      <c r="B211" s="17"/>
      <c r="C211" s="2"/>
      <c r="D211" s="2"/>
      <c r="E211" s="14"/>
      <c r="F211" s="2"/>
      <c r="G211" s="2"/>
      <c r="H211" s="2"/>
      <c r="I211" s="2"/>
      <c r="J211" s="2"/>
      <c r="K211" s="2"/>
      <c r="L211" s="2"/>
      <c r="M211" s="2"/>
      <c r="N211" s="2"/>
      <c r="O211" s="2"/>
    </row>
    <row r="212" spans="2:15" ht="14">
      <c r="B212" s="17"/>
      <c r="C212" s="2"/>
      <c r="D212" s="2"/>
      <c r="E212" s="14"/>
      <c r="F212" s="2"/>
      <c r="G212" s="2"/>
      <c r="H212" s="2"/>
      <c r="I212" s="2"/>
      <c r="J212" s="2"/>
      <c r="K212" s="2"/>
      <c r="L212" s="2"/>
      <c r="M212" s="2"/>
      <c r="N212" s="2"/>
      <c r="O212" s="2"/>
    </row>
    <row r="213" spans="2:15" ht="14">
      <c r="B213" s="17"/>
      <c r="C213" s="2"/>
      <c r="D213" s="2"/>
      <c r="E213" s="14"/>
      <c r="F213" s="2"/>
      <c r="G213" s="2"/>
      <c r="H213" s="2"/>
      <c r="I213" s="2"/>
      <c r="J213" s="2"/>
      <c r="K213" s="2"/>
      <c r="L213" s="2"/>
      <c r="M213" s="2"/>
      <c r="N213" s="2"/>
      <c r="O213" s="2"/>
    </row>
    <row r="214" spans="2:15" ht="14">
      <c r="B214" s="17"/>
      <c r="C214" s="2"/>
      <c r="D214" s="2"/>
      <c r="E214" s="14"/>
      <c r="F214" s="2"/>
      <c r="G214" s="2"/>
      <c r="H214" s="2"/>
      <c r="I214" s="2"/>
      <c r="J214" s="2"/>
      <c r="K214" s="2"/>
      <c r="L214" s="2"/>
      <c r="M214" s="2"/>
      <c r="N214" s="2"/>
      <c r="O214" s="2"/>
    </row>
    <row r="215" spans="2:15" ht="14">
      <c r="B215" s="17"/>
      <c r="C215" s="2"/>
      <c r="D215" s="2"/>
      <c r="E215" s="14"/>
      <c r="F215" s="2"/>
      <c r="G215" s="2"/>
      <c r="H215" s="2"/>
      <c r="I215" s="2"/>
      <c r="J215" s="2"/>
      <c r="K215" s="2"/>
      <c r="L215" s="2"/>
      <c r="M215" s="2"/>
      <c r="N215" s="2"/>
      <c r="O215" s="2"/>
    </row>
    <row r="216" spans="2:15" ht="14">
      <c r="B216" s="17"/>
      <c r="C216" s="2"/>
      <c r="D216" s="2"/>
      <c r="E216" s="14"/>
      <c r="F216" s="2"/>
      <c r="G216" s="2"/>
      <c r="H216" s="2"/>
      <c r="I216" s="2"/>
      <c r="J216" s="2"/>
      <c r="K216" s="2"/>
      <c r="L216" s="2"/>
      <c r="M216" s="2"/>
      <c r="N216" s="2"/>
      <c r="O216" s="2"/>
    </row>
    <row r="217" spans="2:15" ht="14">
      <c r="B217" s="17"/>
      <c r="C217" s="2"/>
      <c r="D217" s="2"/>
      <c r="E217" s="14"/>
      <c r="F217" s="2"/>
      <c r="G217" s="2"/>
      <c r="H217" s="2"/>
      <c r="I217" s="2"/>
      <c r="J217" s="2"/>
      <c r="K217" s="2"/>
      <c r="L217" s="2"/>
      <c r="M217" s="2"/>
      <c r="N217" s="2"/>
      <c r="O217" s="2"/>
    </row>
    <row r="218" spans="2:15" ht="14">
      <c r="B218" s="17"/>
      <c r="C218" s="2"/>
      <c r="D218" s="2"/>
      <c r="E218" s="14"/>
      <c r="F218" s="2"/>
      <c r="G218" s="2"/>
      <c r="H218" s="2"/>
      <c r="I218" s="2"/>
      <c r="J218" s="2"/>
      <c r="K218" s="2"/>
      <c r="L218" s="2"/>
      <c r="M218" s="2"/>
      <c r="N218" s="2"/>
      <c r="O218" s="2"/>
    </row>
    <row r="219" spans="2:15" ht="14">
      <c r="B219" s="17"/>
      <c r="C219" s="2"/>
      <c r="D219" s="2"/>
      <c r="E219" s="14"/>
      <c r="F219" s="2"/>
      <c r="G219" s="2"/>
      <c r="H219" s="2"/>
      <c r="I219" s="2"/>
      <c r="J219" s="2"/>
      <c r="K219" s="2"/>
      <c r="L219" s="2"/>
      <c r="M219" s="2"/>
      <c r="N219" s="2"/>
      <c r="O219" s="2"/>
    </row>
    <row r="220" spans="2:15" ht="14">
      <c r="B220" s="17"/>
      <c r="C220" s="2"/>
      <c r="D220" s="2"/>
      <c r="E220" s="14"/>
      <c r="F220" s="2"/>
      <c r="G220" s="2"/>
      <c r="H220" s="2"/>
      <c r="I220" s="2"/>
      <c r="J220" s="2"/>
      <c r="K220" s="2"/>
      <c r="L220" s="2"/>
      <c r="M220" s="2"/>
      <c r="N220" s="2"/>
      <c r="O220" s="2"/>
    </row>
    <row r="221" spans="2:15" ht="14">
      <c r="B221" s="17"/>
      <c r="C221" s="2"/>
      <c r="D221" s="2"/>
      <c r="E221" s="14"/>
      <c r="F221" s="2"/>
      <c r="G221" s="2"/>
      <c r="H221" s="2"/>
      <c r="I221" s="2"/>
      <c r="J221" s="2"/>
      <c r="K221" s="2"/>
      <c r="L221" s="2"/>
      <c r="M221" s="2"/>
      <c r="N221" s="2"/>
      <c r="O221" s="2"/>
    </row>
    <row r="222" spans="2:15" ht="14">
      <c r="B222" s="17"/>
      <c r="C222" s="2"/>
      <c r="D222" s="2"/>
      <c r="E222" s="14"/>
      <c r="F222" s="2"/>
      <c r="G222" s="2"/>
      <c r="H222" s="2"/>
      <c r="I222" s="2"/>
      <c r="J222" s="2"/>
      <c r="K222" s="2"/>
      <c r="L222" s="2"/>
      <c r="M222" s="2"/>
      <c r="N222" s="2"/>
      <c r="O222" s="2"/>
    </row>
    <row r="223" spans="2:15" ht="14">
      <c r="B223" s="17"/>
      <c r="C223" s="2"/>
      <c r="D223" s="2"/>
      <c r="E223" s="14"/>
      <c r="F223" s="2"/>
      <c r="G223" s="2"/>
      <c r="H223" s="2"/>
      <c r="I223" s="2"/>
      <c r="J223" s="2"/>
      <c r="K223" s="2"/>
      <c r="L223" s="2"/>
      <c r="M223" s="2"/>
      <c r="N223" s="2"/>
      <c r="O223" s="2"/>
    </row>
    <row r="224" spans="2:15" ht="14">
      <c r="B224" s="17"/>
      <c r="C224" s="2"/>
      <c r="D224" s="2"/>
      <c r="E224" s="14"/>
      <c r="F224" s="2"/>
      <c r="G224" s="2"/>
      <c r="H224" s="2"/>
      <c r="I224" s="2"/>
      <c r="J224" s="2"/>
      <c r="K224" s="2"/>
      <c r="L224" s="2"/>
      <c r="M224" s="2"/>
      <c r="N224" s="2"/>
      <c r="O224" s="2"/>
    </row>
    <row r="225" spans="2:15" ht="14">
      <c r="B225" s="17"/>
      <c r="C225" s="2"/>
      <c r="D225" s="2"/>
      <c r="E225" s="14"/>
      <c r="F225" s="2"/>
      <c r="G225" s="2"/>
      <c r="H225" s="2"/>
      <c r="I225" s="2"/>
      <c r="J225" s="2"/>
      <c r="K225" s="2"/>
      <c r="L225" s="2"/>
      <c r="M225" s="2"/>
      <c r="N225" s="2"/>
      <c r="O225" s="2"/>
    </row>
    <row r="226" spans="2:15" ht="14">
      <c r="B226" s="17"/>
      <c r="C226" s="2"/>
      <c r="D226" s="2"/>
      <c r="E226" s="14"/>
      <c r="F226" s="2"/>
      <c r="G226" s="2"/>
      <c r="H226" s="2"/>
      <c r="I226" s="2"/>
      <c r="J226" s="2"/>
      <c r="K226" s="2"/>
      <c r="L226" s="2"/>
      <c r="M226" s="2"/>
      <c r="N226" s="2"/>
      <c r="O226" s="2"/>
    </row>
    <row r="227" spans="2:15" ht="14">
      <c r="B227" s="17"/>
      <c r="C227" s="2"/>
      <c r="D227" s="2"/>
      <c r="E227" s="14"/>
      <c r="F227" s="2"/>
      <c r="G227" s="2"/>
      <c r="H227" s="2"/>
      <c r="I227" s="2"/>
      <c r="J227" s="2"/>
      <c r="K227" s="2"/>
      <c r="L227" s="2"/>
      <c r="M227" s="2"/>
      <c r="N227" s="2"/>
      <c r="O227" s="2"/>
    </row>
    <row r="228" spans="2:15" ht="14">
      <c r="B228" s="17"/>
      <c r="C228" s="2"/>
      <c r="D228" s="2"/>
      <c r="E228" s="14"/>
      <c r="F228" s="2"/>
      <c r="G228" s="2"/>
      <c r="H228" s="2"/>
      <c r="I228" s="2"/>
      <c r="J228" s="2"/>
      <c r="K228" s="2"/>
      <c r="L228" s="2"/>
      <c r="M228" s="2"/>
      <c r="N228" s="2"/>
      <c r="O228" s="2"/>
    </row>
    <row r="229" spans="2:15" ht="14">
      <c r="B229" s="17"/>
      <c r="C229" s="2"/>
      <c r="D229" s="2"/>
      <c r="E229" s="14"/>
      <c r="F229" s="2"/>
      <c r="G229" s="2"/>
      <c r="H229" s="2"/>
      <c r="I229" s="2"/>
      <c r="J229" s="2"/>
      <c r="K229" s="2"/>
      <c r="L229" s="2"/>
      <c r="M229" s="2"/>
      <c r="N229" s="2"/>
      <c r="O229" s="2"/>
    </row>
    <row r="230" spans="2:15" ht="14">
      <c r="B230" s="17"/>
      <c r="C230" s="2"/>
      <c r="D230" s="2"/>
      <c r="E230" s="14"/>
      <c r="F230" s="2"/>
      <c r="G230" s="2"/>
      <c r="H230" s="2"/>
      <c r="I230" s="2"/>
      <c r="J230" s="2"/>
      <c r="K230" s="2"/>
      <c r="L230" s="2"/>
      <c r="M230" s="2"/>
      <c r="N230" s="2"/>
      <c r="O230" s="2"/>
    </row>
    <row r="231" spans="2:15" ht="14">
      <c r="B231" s="17"/>
      <c r="C231" s="2"/>
      <c r="D231" s="2"/>
      <c r="E231" s="14"/>
      <c r="F231" s="2"/>
      <c r="G231" s="2"/>
      <c r="H231" s="2"/>
      <c r="I231" s="2"/>
      <c r="J231" s="2"/>
      <c r="K231" s="2"/>
      <c r="L231" s="2"/>
      <c r="M231" s="2"/>
      <c r="N231" s="2"/>
      <c r="O231" s="2"/>
    </row>
    <row r="232" spans="2:15" ht="14">
      <c r="B232" s="17"/>
      <c r="C232" s="2"/>
      <c r="D232" s="2"/>
      <c r="E232" s="14"/>
      <c r="F232" s="2"/>
      <c r="G232" s="2"/>
      <c r="H232" s="2"/>
      <c r="I232" s="2"/>
      <c r="J232" s="2"/>
      <c r="K232" s="2"/>
      <c r="L232" s="2"/>
      <c r="M232" s="2"/>
      <c r="N232" s="2"/>
      <c r="O232" s="2"/>
    </row>
    <row r="233" spans="2:15" ht="14">
      <c r="B233" s="17"/>
      <c r="C233" s="2"/>
      <c r="D233" s="2"/>
      <c r="E233" s="14"/>
      <c r="F233" s="2"/>
      <c r="G233" s="2"/>
      <c r="H233" s="2"/>
      <c r="I233" s="2"/>
      <c r="J233" s="2"/>
      <c r="K233" s="2"/>
      <c r="L233" s="2"/>
      <c r="M233" s="2"/>
      <c r="N233" s="2"/>
      <c r="O233" s="2"/>
    </row>
    <row r="234" spans="2:15" ht="14">
      <c r="B234" s="17"/>
      <c r="C234" s="2"/>
      <c r="D234" s="2"/>
      <c r="E234" s="14"/>
      <c r="F234" s="2"/>
      <c r="G234" s="2"/>
      <c r="H234" s="2"/>
      <c r="I234" s="2"/>
      <c r="J234" s="2"/>
      <c r="K234" s="2"/>
      <c r="L234" s="2"/>
      <c r="M234" s="2"/>
      <c r="N234" s="2"/>
      <c r="O234" s="2"/>
    </row>
    <row r="235" spans="2:15" ht="14">
      <c r="B235" s="17"/>
      <c r="C235" s="2"/>
      <c r="D235" s="2"/>
      <c r="E235" s="14"/>
      <c r="F235" s="2"/>
      <c r="G235" s="2"/>
      <c r="H235" s="2"/>
      <c r="I235" s="2"/>
      <c r="J235" s="2"/>
      <c r="K235" s="2"/>
      <c r="L235" s="2"/>
      <c r="M235" s="2"/>
      <c r="N235" s="2"/>
      <c r="O235" s="2"/>
    </row>
    <row r="236" spans="2:15" ht="14">
      <c r="B236" s="17"/>
      <c r="C236" s="2"/>
      <c r="D236" s="2"/>
      <c r="E236" s="14"/>
      <c r="F236" s="2"/>
      <c r="G236" s="2"/>
      <c r="H236" s="2"/>
      <c r="I236" s="2"/>
      <c r="J236" s="2"/>
      <c r="K236" s="2"/>
      <c r="L236" s="2"/>
      <c r="M236" s="2"/>
      <c r="N236" s="2"/>
      <c r="O236" s="2"/>
    </row>
    <row r="237" spans="2:15" ht="14">
      <c r="B237" s="17"/>
      <c r="C237" s="2"/>
      <c r="D237" s="2"/>
      <c r="E237" s="14"/>
      <c r="F237" s="2"/>
      <c r="G237" s="2"/>
      <c r="H237" s="2"/>
      <c r="I237" s="2"/>
      <c r="J237" s="2"/>
      <c r="K237" s="2"/>
      <c r="L237" s="2"/>
      <c r="M237" s="2"/>
      <c r="N237" s="2"/>
      <c r="O237" s="2"/>
    </row>
    <row r="238" spans="2:15" ht="14">
      <c r="B238" s="17"/>
      <c r="C238" s="2"/>
      <c r="D238" s="2"/>
      <c r="E238" s="14"/>
      <c r="F238" s="2"/>
      <c r="G238" s="2"/>
      <c r="H238" s="2"/>
      <c r="I238" s="2"/>
      <c r="J238" s="2"/>
      <c r="K238" s="2"/>
      <c r="L238" s="2"/>
      <c r="M238" s="2"/>
      <c r="N238" s="2"/>
      <c r="O238" s="2"/>
    </row>
    <row r="239" spans="2:15" ht="14">
      <c r="B239" s="17"/>
      <c r="C239" s="2"/>
      <c r="D239" s="2"/>
      <c r="E239" s="14"/>
      <c r="F239" s="2"/>
      <c r="G239" s="2"/>
      <c r="H239" s="2"/>
      <c r="I239" s="2"/>
      <c r="J239" s="2"/>
      <c r="K239" s="2"/>
      <c r="L239" s="2"/>
      <c r="M239" s="2"/>
      <c r="N239" s="2"/>
      <c r="O239" s="2"/>
    </row>
    <row r="240" spans="2:15" ht="14">
      <c r="B240" s="17"/>
      <c r="C240" s="2"/>
      <c r="D240" s="2"/>
      <c r="E240" s="14"/>
      <c r="F240" s="2"/>
      <c r="G240" s="2"/>
      <c r="H240" s="2"/>
      <c r="I240" s="2"/>
      <c r="J240" s="2"/>
      <c r="K240" s="2"/>
      <c r="L240" s="2"/>
      <c r="M240" s="2"/>
      <c r="N240" s="2"/>
      <c r="O240" s="2"/>
    </row>
    <row r="241" spans="2:15" ht="14">
      <c r="B241" s="17"/>
      <c r="C241" s="2"/>
      <c r="D241" s="2"/>
      <c r="E241" s="14"/>
      <c r="F241" s="2"/>
      <c r="G241" s="2"/>
      <c r="H241" s="2"/>
      <c r="I241" s="2"/>
      <c r="J241" s="2"/>
      <c r="K241" s="2"/>
      <c r="L241" s="2"/>
      <c r="M241" s="2"/>
      <c r="N241" s="2"/>
      <c r="O241" s="2"/>
    </row>
    <row r="242" spans="2:15" ht="14">
      <c r="B242" s="17"/>
      <c r="C242" s="2"/>
      <c r="D242" s="2"/>
      <c r="E242" s="14"/>
      <c r="F242" s="2"/>
      <c r="G242" s="2"/>
      <c r="H242" s="2"/>
      <c r="I242" s="2"/>
      <c r="J242" s="2"/>
      <c r="K242" s="2"/>
      <c r="L242" s="2"/>
      <c r="M242" s="2"/>
      <c r="N242" s="2"/>
      <c r="O242" s="2"/>
    </row>
    <row r="243" spans="2:15" ht="14">
      <c r="B243" s="17"/>
      <c r="C243" s="2"/>
      <c r="D243" s="2"/>
      <c r="E243" s="14"/>
      <c r="F243" s="2"/>
      <c r="G243" s="2"/>
      <c r="H243" s="2"/>
      <c r="I243" s="2"/>
      <c r="J243" s="2"/>
      <c r="K243" s="2"/>
      <c r="L243" s="2"/>
      <c r="M243" s="2"/>
      <c r="N243" s="2"/>
      <c r="O243" s="2"/>
    </row>
    <row r="244" spans="2:15" ht="14">
      <c r="B244" s="17"/>
      <c r="C244" s="2"/>
      <c r="D244" s="2"/>
      <c r="E244" s="14"/>
      <c r="F244" s="2"/>
      <c r="G244" s="2"/>
      <c r="H244" s="2"/>
      <c r="I244" s="2"/>
      <c r="J244" s="2"/>
      <c r="K244" s="2"/>
      <c r="L244" s="2"/>
      <c r="M244" s="2"/>
      <c r="N244" s="2"/>
      <c r="O244" s="2"/>
    </row>
    <row r="245" spans="2:15" ht="14">
      <c r="B245" s="17"/>
      <c r="C245" s="2"/>
      <c r="D245" s="2"/>
      <c r="E245" s="14"/>
      <c r="F245" s="2"/>
      <c r="G245" s="2"/>
      <c r="H245" s="2"/>
      <c r="I245" s="2"/>
      <c r="J245" s="2"/>
      <c r="K245" s="2"/>
      <c r="L245" s="2"/>
      <c r="M245" s="2"/>
      <c r="N245" s="2"/>
      <c r="O245" s="2"/>
    </row>
    <row r="246" spans="2:15" ht="14">
      <c r="B246" s="17"/>
      <c r="C246" s="2"/>
      <c r="D246" s="2"/>
      <c r="E246" s="14"/>
      <c r="F246" s="2"/>
      <c r="G246" s="2"/>
      <c r="H246" s="2"/>
      <c r="I246" s="2"/>
      <c r="J246" s="2"/>
      <c r="K246" s="2"/>
      <c r="L246" s="2"/>
      <c r="M246" s="2"/>
      <c r="N246" s="2"/>
      <c r="O246" s="2"/>
    </row>
    <row r="247" spans="2:15" ht="14">
      <c r="B247" s="17"/>
      <c r="C247" s="2"/>
      <c r="D247" s="2"/>
      <c r="E247" s="14"/>
      <c r="F247" s="2"/>
      <c r="G247" s="2"/>
      <c r="H247" s="2"/>
      <c r="I247" s="2"/>
      <c r="J247" s="2"/>
      <c r="K247" s="2"/>
      <c r="L247" s="2"/>
      <c r="M247" s="2"/>
      <c r="N247" s="2"/>
      <c r="O247" s="2"/>
    </row>
    <row r="248" spans="2:15" ht="14">
      <c r="B248" s="17"/>
      <c r="C248" s="2"/>
      <c r="D248" s="2"/>
      <c r="E248" s="14"/>
      <c r="F248" s="2"/>
      <c r="G248" s="2"/>
      <c r="H248" s="2"/>
      <c r="I248" s="2"/>
      <c r="J248" s="2"/>
      <c r="K248" s="2"/>
      <c r="L248" s="2"/>
      <c r="M248" s="2"/>
      <c r="N248" s="2"/>
      <c r="O248" s="2"/>
    </row>
    <row r="249" spans="2:15" ht="14">
      <c r="B249" s="17"/>
      <c r="C249" s="2"/>
      <c r="D249" s="2"/>
      <c r="E249" s="14"/>
      <c r="F249" s="2"/>
      <c r="G249" s="2"/>
      <c r="H249" s="2"/>
      <c r="I249" s="2"/>
      <c r="J249" s="2"/>
      <c r="K249" s="2"/>
      <c r="L249" s="2"/>
      <c r="M249" s="2"/>
      <c r="N249" s="2"/>
      <c r="O249" s="2"/>
    </row>
    <row r="250" spans="2:15" ht="14">
      <c r="B250" s="17"/>
      <c r="C250" s="2"/>
      <c r="D250" s="2"/>
      <c r="E250" s="14"/>
      <c r="F250" s="2"/>
      <c r="G250" s="2"/>
      <c r="H250" s="2"/>
      <c r="I250" s="2"/>
      <c r="J250" s="2"/>
      <c r="K250" s="2"/>
      <c r="L250" s="2"/>
      <c r="M250" s="2"/>
      <c r="N250" s="2"/>
      <c r="O250" s="2"/>
    </row>
    <row r="251" spans="2:15" ht="14">
      <c r="B251" s="17"/>
      <c r="C251" s="2"/>
      <c r="D251" s="2"/>
      <c r="E251" s="14"/>
      <c r="F251" s="2"/>
      <c r="G251" s="2"/>
      <c r="H251" s="2"/>
      <c r="I251" s="2"/>
      <c r="J251" s="2"/>
      <c r="K251" s="2"/>
      <c r="L251" s="2"/>
      <c r="M251" s="2"/>
      <c r="N251" s="2"/>
      <c r="O251" s="2"/>
    </row>
    <row r="252" spans="2:15" ht="14">
      <c r="B252" s="17"/>
      <c r="C252" s="2"/>
      <c r="D252" s="2"/>
      <c r="E252" s="14"/>
      <c r="F252" s="2"/>
      <c r="G252" s="2"/>
      <c r="H252" s="2"/>
      <c r="I252" s="2"/>
      <c r="J252" s="2"/>
      <c r="K252" s="2"/>
      <c r="L252" s="2"/>
      <c r="M252" s="2"/>
      <c r="N252" s="2"/>
      <c r="O252" s="2"/>
    </row>
    <row r="253" spans="2:15" ht="14">
      <c r="B253" s="17"/>
      <c r="C253" s="2"/>
      <c r="D253" s="2"/>
      <c r="E253" s="14"/>
      <c r="F253" s="2"/>
      <c r="G253" s="2"/>
      <c r="H253" s="2"/>
      <c r="I253" s="2"/>
      <c r="J253" s="2"/>
      <c r="K253" s="2"/>
      <c r="L253" s="2"/>
      <c r="M253" s="2"/>
      <c r="N253" s="2"/>
      <c r="O253" s="2"/>
    </row>
    <row r="254" spans="2:15" ht="14">
      <c r="B254" s="17"/>
      <c r="C254" s="2"/>
      <c r="D254" s="2"/>
      <c r="E254" s="14"/>
      <c r="F254" s="2"/>
      <c r="G254" s="2"/>
      <c r="H254" s="2"/>
      <c r="I254" s="2"/>
      <c r="J254" s="2"/>
      <c r="K254" s="2"/>
      <c r="L254" s="2"/>
      <c r="M254" s="2"/>
      <c r="N254" s="2"/>
      <c r="O254" s="2"/>
    </row>
    <row r="255" spans="2:15" ht="14">
      <c r="B255" s="17"/>
      <c r="C255" s="2"/>
      <c r="D255" s="2"/>
      <c r="E255" s="14"/>
      <c r="F255" s="2"/>
      <c r="G255" s="2"/>
      <c r="H255" s="2"/>
      <c r="I255" s="2"/>
      <c r="J255" s="2"/>
      <c r="K255" s="2"/>
      <c r="L255" s="2"/>
      <c r="M255" s="2"/>
      <c r="N255" s="2"/>
      <c r="O255" s="2"/>
    </row>
    <row r="256" spans="2:15" ht="14">
      <c r="B256" s="17"/>
      <c r="C256" s="2"/>
      <c r="D256" s="2"/>
      <c r="E256" s="14"/>
      <c r="F256" s="2"/>
      <c r="G256" s="2"/>
      <c r="H256" s="2"/>
      <c r="I256" s="2"/>
      <c r="J256" s="2"/>
      <c r="K256" s="2"/>
      <c r="L256" s="2"/>
      <c r="M256" s="2"/>
      <c r="N256" s="2"/>
      <c r="O256" s="2"/>
    </row>
    <row r="257" spans="2:15" ht="14">
      <c r="B257" s="17"/>
      <c r="C257" s="2"/>
      <c r="D257" s="2"/>
      <c r="E257" s="14"/>
      <c r="F257" s="2"/>
      <c r="G257" s="2"/>
      <c r="H257" s="2"/>
      <c r="I257" s="2"/>
      <c r="J257" s="2"/>
      <c r="K257" s="2"/>
      <c r="L257" s="2"/>
      <c r="M257" s="2"/>
      <c r="N257" s="2"/>
      <c r="O257" s="2"/>
    </row>
    <row r="258" spans="2:15" ht="14">
      <c r="B258" s="17"/>
      <c r="C258" s="2"/>
      <c r="D258" s="2"/>
      <c r="E258" s="14"/>
      <c r="F258" s="2"/>
      <c r="G258" s="2"/>
      <c r="H258" s="2"/>
      <c r="I258" s="2"/>
      <c r="J258" s="2"/>
      <c r="K258" s="2"/>
      <c r="L258" s="2"/>
      <c r="M258" s="2"/>
      <c r="N258" s="2"/>
      <c r="O258" s="2"/>
    </row>
    <row r="259" spans="2:15" ht="14">
      <c r="B259" s="17"/>
      <c r="C259" s="2"/>
      <c r="D259" s="2"/>
      <c r="E259" s="14"/>
      <c r="F259" s="2"/>
      <c r="G259" s="2"/>
      <c r="H259" s="2"/>
      <c r="I259" s="2"/>
      <c r="J259" s="2"/>
      <c r="K259" s="2"/>
      <c r="L259" s="2"/>
      <c r="M259" s="2"/>
      <c r="N259" s="2"/>
      <c r="O259" s="2"/>
    </row>
    <row r="260" spans="2:15" ht="14">
      <c r="B260" s="17"/>
      <c r="C260" s="2"/>
      <c r="D260" s="2"/>
      <c r="E260" s="14"/>
      <c r="F260" s="2"/>
      <c r="G260" s="2"/>
      <c r="H260" s="2"/>
      <c r="I260" s="2"/>
      <c r="J260" s="2"/>
      <c r="K260" s="2"/>
      <c r="L260" s="2"/>
      <c r="M260" s="2"/>
      <c r="N260" s="2"/>
      <c r="O260" s="2"/>
    </row>
    <row r="261" spans="2:15" ht="14">
      <c r="B261" s="17"/>
      <c r="C261" s="2"/>
      <c r="D261" s="2"/>
      <c r="E261" s="14"/>
      <c r="F261" s="2"/>
      <c r="G261" s="2"/>
      <c r="H261" s="2"/>
      <c r="I261" s="2"/>
      <c r="J261" s="2"/>
      <c r="K261" s="2"/>
      <c r="L261" s="2"/>
      <c r="M261" s="2"/>
      <c r="N261" s="2"/>
      <c r="O261" s="2"/>
    </row>
    <row r="262" spans="2:15" ht="14">
      <c r="B262" s="17"/>
      <c r="C262" s="2"/>
      <c r="D262" s="2"/>
      <c r="E262" s="14"/>
      <c r="F262" s="2"/>
      <c r="G262" s="2"/>
      <c r="H262" s="2"/>
      <c r="I262" s="2"/>
      <c r="J262" s="2"/>
      <c r="K262" s="2"/>
      <c r="L262" s="2"/>
      <c r="M262" s="2"/>
      <c r="N262" s="2"/>
      <c r="O262" s="2"/>
    </row>
    <row r="263" spans="2:15" ht="14">
      <c r="B263" s="17"/>
      <c r="C263" s="2"/>
      <c r="D263" s="2"/>
      <c r="E263" s="14"/>
      <c r="F263" s="2"/>
      <c r="G263" s="2"/>
      <c r="H263" s="2"/>
      <c r="I263" s="2"/>
      <c r="J263" s="2"/>
      <c r="K263" s="2"/>
      <c r="L263" s="2"/>
      <c r="M263" s="2"/>
      <c r="N263" s="2"/>
      <c r="O263" s="2"/>
    </row>
    <row r="264" spans="2:15" ht="14">
      <c r="B264" s="17"/>
      <c r="C264" s="2"/>
      <c r="D264" s="2"/>
      <c r="E264" s="14"/>
      <c r="F264" s="2"/>
      <c r="G264" s="2"/>
      <c r="H264" s="2"/>
      <c r="I264" s="2"/>
      <c r="J264" s="2"/>
      <c r="K264" s="2"/>
      <c r="L264" s="2"/>
      <c r="M264" s="2"/>
      <c r="N264" s="2"/>
      <c r="O264" s="2"/>
    </row>
    <row r="265" spans="2:15" ht="14">
      <c r="B265" s="17"/>
      <c r="C265" s="2"/>
      <c r="D265" s="2"/>
      <c r="E265" s="14"/>
      <c r="F265" s="2"/>
      <c r="G265" s="2"/>
      <c r="H265" s="2"/>
      <c r="I265" s="2"/>
      <c r="J265" s="2"/>
      <c r="K265" s="2"/>
      <c r="L265" s="2"/>
      <c r="M265" s="2"/>
      <c r="N265" s="2"/>
      <c r="O265" s="2"/>
    </row>
    <row r="266" spans="2:15" ht="14">
      <c r="B266" s="17"/>
      <c r="C266" s="2"/>
      <c r="D266" s="2"/>
      <c r="E266" s="14"/>
      <c r="F266" s="2"/>
      <c r="G266" s="2"/>
      <c r="H266" s="2"/>
      <c r="I266" s="2"/>
      <c r="J266" s="2"/>
      <c r="K266" s="2"/>
      <c r="L266" s="2"/>
      <c r="M266" s="2"/>
      <c r="N266" s="2"/>
      <c r="O266" s="2"/>
    </row>
    <row r="267" spans="2:15" ht="14">
      <c r="B267" s="17"/>
      <c r="C267" s="2"/>
      <c r="D267" s="2"/>
      <c r="E267" s="14"/>
      <c r="F267" s="2"/>
      <c r="G267" s="2"/>
      <c r="H267" s="2"/>
      <c r="I267" s="2"/>
      <c r="J267" s="2"/>
      <c r="K267" s="2"/>
      <c r="L267" s="2"/>
      <c r="M267" s="2"/>
      <c r="N267" s="2"/>
      <c r="O267" s="2"/>
    </row>
    <row r="268" spans="2:15" ht="14">
      <c r="B268" s="17"/>
      <c r="C268" s="2"/>
      <c r="D268" s="2"/>
      <c r="E268" s="14"/>
      <c r="F268" s="2"/>
      <c r="G268" s="2"/>
      <c r="H268" s="2"/>
      <c r="I268" s="2"/>
      <c r="J268" s="2"/>
      <c r="K268" s="2"/>
      <c r="L268" s="2"/>
      <c r="M268" s="2"/>
      <c r="N268" s="2"/>
      <c r="O268" s="2"/>
    </row>
    <row r="269" spans="2:15" ht="14">
      <c r="B269" s="17"/>
      <c r="C269" s="2"/>
      <c r="D269" s="2"/>
      <c r="E269" s="14"/>
      <c r="F269" s="2"/>
      <c r="G269" s="2"/>
      <c r="H269" s="2"/>
      <c r="I269" s="2"/>
      <c r="J269" s="2"/>
      <c r="K269" s="2"/>
      <c r="L269" s="2"/>
      <c r="M269" s="2"/>
      <c r="N269" s="2"/>
      <c r="O269" s="2"/>
    </row>
    <row r="270" spans="2:15" ht="14">
      <c r="B270" s="17"/>
      <c r="C270" s="2"/>
      <c r="D270" s="2"/>
      <c r="E270" s="14"/>
      <c r="F270" s="2"/>
      <c r="G270" s="2"/>
      <c r="H270" s="2"/>
      <c r="I270" s="2"/>
      <c r="J270" s="2"/>
      <c r="K270" s="2"/>
      <c r="L270" s="2"/>
      <c r="M270" s="2"/>
      <c r="N270" s="2"/>
      <c r="O270" s="2"/>
    </row>
    <row r="271" spans="2:15" ht="14">
      <c r="B271" s="17"/>
      <c r="C271" s="2"/>
      <c r="D271" s="2"/>
      <c r="E271" s="14"/>
      <c r="F271" s="2"/>
      <c r="G271" s="2"/>
      <c r="H271" s="2"/>
      <c r="I271" s="2"/>
      <c r="J271" s="2"/>
      <c r="K271" s="2"/>
      <c r="L271" s="2"/>
      <c r="M271" s="2"/>
      <c r="N271" s="2"/>
      <c r="O271" s="2"/>
    </row>
    <row r="272" spans="2:15" ht="14">
      <c r="B272" s="17"/>
      <c r="C272" s="2"/>
      <c r="D272" s="2"/>
      <c r="E272" s="14"/>
      <c r="F272" s="2"/>
      <c r="G272" s="2"/>
      <c r="H272" s="2"/>
      <c r="I272" s="2"/>
      <c r="J272" s="2"/>
      <c r="K272" s="2"/>
      <c r="L272" s="2"/>
      <c r="M272" s="2"/>
      <c r="N272" s="2"/>
      <c r="O272" s="2"/>
    </row>
    <row r="273" spans="2:15" ht="14">
      <c r="B273" s="17"/>
      <c r="C273" s="2"/>
      <c r="D273" s="2"/>
      <c r="E273" s="14"/>
      <c r="F273" s="2"/>
      <c r="G273" s="2"/>
      <c r="H273" s="2"/>
      <c r="I273" s="2"/>
      <c r="J273" s="2"/>
      <c r="K273" s="2"/>
      <c r="L273" s="2"/>
      <c r="M273" s="2"/>
      <c r="N273" s="2"/>
      <c r="O273" s="2"/>
    </row>
    <row r="274" spans="2:15" ht="14">
      <c r="B274" s="17"/>
      <c r="C274" s="2"/>
      <c r="D274" s="2"/>
      <c r="E274" s="14"/>
      <c r="F274" s="2"/>
      <c r="G274" s="2"/>
      <c r="H274" s="2"/>
      <c r="I274" s="2"/>
      <c r="J274" s="2"/>
      <c r="K274" s="2"/>
      <c r="L274" s="2"/>
      <c r="M274" s="2"/>
      <c r="N274" s="2"/>
      <c r="O274" s="2"/>
    </row>
    <row r="275" spans="2:15" ht="14">
      <c r="B275" s="17"/>
      <c r="C275" s="2"/>
      <c r="D275" s="2"/>
      <c r="E275" s="14"/>
      <c r="F275" s="2"/>
      <c r="G275" s="2"/>
      <c r="H275" s="2"/>
      <c r="I275" s="2"/>
      <c r="J275" s="2"/>
      <c r="K275" s="2"/>
      <c r="L275" s="2"/>
      <c r="M275" s="2"/>
      <c r="N275" s="2"/>
      <c r="O275" s="2"/>
    </row>
    <row r="276" spans="2:15" ht="14">
      <c r="B276" s="17"/>
      <c r="C276" s="2"/>
      <c r="D276" s="2"/>
      <c r="E276" s="14"/>
      <c r="F276" s="2"/>
      <c r="G276" s="2"/>
      <c r="H276" s="2"/>
      <c r="I276" s="2"/>
      <c r="J276" s="2"/>
      <c r="K276" s="2"/>
      <c r="L276" s="2"/>
      <c r="M276" s="2"/>
      <c r="N276" s="2"/>
      <c r="O276" s="2"/>
    </row>
    <row r="277" spans="2:15" ht="14">
      <c r="B277" s="17"/>
      <c r="C277" s="2"/>
      <c r="D277" s="2"/>
      <c r="E277" s="14"/>
      <c r="F277" s="2"/>
      <c r="G277" s="2"/>
      <c r="H277" s="2"/>
      <c r="I277" s="2"/>
      <c r="J277" s="2"/>
      <c r="K277" s="2"/>
      <c r="L277" s="2"/>
      <c r="M277" s="2"/>
      <c r="N277" s="2"/>
      <c r="O277" s="2"/>
    </row>
    <row r="278" spans="2:15" ht="14">
      <c r="B278" s="17"/>
      <c r="C278" s="2"/>
      <c r="D278" s="2"/>
      <c r="E278" s="14"/>
      <c r="F278" s="2"/>
      <c r="G278" s="2"/>
      <c r="H278" s="2"/>
      <c r="I278" s="2"/>
      <c r="J278" s="2"/>
      <c r="K278" s="2"/>
      <c r="L278" s="2"/>
      <c r="M278" s="2"/>
      <c r="N278" s="2"/>
      <c r="O278" s="2"/>
    </row>
    <row r="279" spans="2:15" ht="14">
      <c r="B279" s="17"/>
      <c r="C279" s="2"/>
      <c r="D279" s="2"/>
      <c r="E279" s="14"/>
      <c r="F279" s="2"/>
      <c r="G279" s="2"/>
      <c r="H279" s="2"/>
      <c r="I279" s="2"/>
      <c r="J279" s="2"/>
      <c r="K279" s="2"/>
      <c r="L279" s="2"/>
      <c r="M279" s="2"/>
      <c r="N279" s="2"/>
      <c r="O279" s="2"/>
    </row>
    <row r="280" spans="2:15" ht="14">
      <c r="B280" s="17"/>
      <c r="C280" s="2"/>
      <c r="D280" s="2"/>
      <c r="E280" s="14"/>
      <c r="F280" s="2"/>
      <c r="G280" s="2"/>
      <c r="H280" s="2"/>
      <c r="I280" s="2"/>
      <c r="J280" s="2"/>
      <c r="K280" s="2"/>
      <c r="L280" s="2"/>
      <c r="M280" s="2"/>
      <c r="N280" s="2"/>
      <c r="O280" s="2"/>
    </row>
    <row r="281" spans="2:15" ht="14">
      <c r="B281" s="17"/>
      <c r="C281" s="2"/>
      <c r="D281" s="2"/>
      <c r="E281" s="14"/>
      <c r="F281" s="2"/>
      <c r="G281" s="2"/>
      <c r="H281" s="2"/>
      <c r="I281" s="2"/>
      <c r="J281" s="2"/>
      <c r="K281" s="2"/>
      <c r="L281" s="2"/>
      <c r="M281" s="2"/>
      <c r="N281" s="2"/>
      <c r="O281" s="2"/>
    </row>
    <row r="282" spans="2:15" ht="14">
      <c r="B282" s="17"/>
      <c r="C282" s="2"/>
      <c r="D282" s="2"/>
      <c r="E282" s="14"/>
      <c r="F282" s="2"/>
      <c r="G282" s="2"/>
      <c r="H282" s="2"/>
      <c r="I282" s="2"/>
      <c r="J282" s="2"/>
      <c r="K282" s="2"/>
      <c r="L282" s="2"/>
      <c r="M282" s="2"/>
      <c r="N282" s="2"/>
      <c r="O282" s="2"/>
    </row>
    <row r="283" spans="2:15" ht="14">
      <c r="B283" s="17"/>
      <c r="C283" s="2"/>
      <c r="D283" s="2"/>
      <c r="E283" s="14"/>
      <c r="F283" s="2"/>
      <c r="G283" s="2"/>
      <c r="H283" s="2"/>
      <c r="I283" s="2"/>
      <c r="J283" s="2"/>
      <c r="K283" s="2"/>
      <c r="L283" s="2"/>
      <c r="M283" s="2"/>
      <c r="N283" s="2"/>
      <c r="O283" s="2"/>
    </row>
    <row r="284" spans="2:15" ht="14">
      <c r="B284" s="17"/>
      <c r="C284" s="2"/>
      <c r="D284" s="2"/>
      <c r="E284" s="14"/>
      <c r="F284" s="2"/>
      <c r="G284" s="2"/>
      <c r="H284" s="2"/>
      <c r="I284" s="2"/>
      <c r="J284" s="2"/>
      <c r="K284" s="2"/>
      <c r="L284" s="2"/>
      <c r="M284" s="2"/>
      <c r="N284" s="2"/>
      <c r="O284" s="2"/>
    </row>
    <row r="285" spans="2:15" ht="14">
      <c r="B285" s="17"/>
      <c r="C285" s="2"/>
      <c r="D285" s="2"/>
      <c r="E285" s="14"/>
      <c r="F285" s="2"/>
      <c r="G285" s="2"/>
      <c r="H285" s="2"/>
      <c r="I285" s="2"/>
      <c r="J285" s="2"/>
      <c r="K285" s="2"/>
      <c r="L285" s="2"/>
      <c r="M285" s="2"/>
      <c r="N285" s="2"/>
      <c r="O285" s="2"/>
    </row>
    <row r="286" spans="2:15" ht="14">
      <c r="B286" s="17"/>
      <c r="C286" s="2"/>
      <c r="D286" s="2"/>
      <c r="E286" s="14"/>
      <c r="F286" s="2"/>
      <c r="G286" s="2"/>
      <c r="H286" s="2"/>
      <c r="I286" s="2"/>
      <c r="J286" s="2"/>
      <c r="K286" s="2"/>
      <c r="L286" s="2"/>
      <c r="M286" s="2"/>
      <c r="N286" s="2"/>
      <c r="O286" s="2"/>
    </row>
    <row r="287" spans="2:15" ht="14">
      <c r="B287" s="17"/>
      <c r="C287" s="2"/>
      <c r="D287" s="2"/>
      <c r="E287" s="14"/>
      <c r="F287" s="2"/>
      <c r="G287" s="2"/>
      <c r="H287" s="2"/>
      <c r="I287" s="2"/>
      <c r="J287" s="2"/>
      <c r="K287" s="2"/>
      <c r="L287" s="2"/>
      <c r="M287" s="2"/>
      <c r="N287" s="2"/>
      <c r="O287" s="2"/>
    </row>
    <row r="288" spans="2:15" ht="14">
      <c r="B288" s="17"/>
      <c r="C288" s="2"/>
      <c r="D288" s="2"/>
      <c r="E288" s="14"/>
      <c r="F288" s="2"/>
      <c r="G288" s="2"/>
      <c r="H288" s="2"/>
      <c r="I288" s="2"/>
      <c r="J288" s="2"/>
      <c r="K288" s="2"/>
      <c r="L288" s="2"/>
      <c r="M288" s="2"/>
      <c r="N288" s="2"/>
      <c r="O288" s="2"/>
    </row>
    <row r="289" spans="2:15" ht="14">
      <c r="B289" s="17"/>
      <c r="C289" s="2"/>
      <c r="D289" s="2"/>
      <c r="E289" s="14"/>
      <c r="F289" s="2"/>
      <c r="G289" s="2"/>
      <c r="H289" s="2"/>
      <c r="I289" s="2"/>
      <c r="J289" s="2"/>
      <c r="K289" s="2"/>
      <c r="L289" s="2"/>
      <c r="M289" s="2"/>
      <c r="N289" s="2"/>
      <c r="O289" s="2"/>
    </row>
    <row r="290" spans="2:15" ht="14">
      <c r="B290" s="17"/>
      <c r="C290" s="2"/>
      <c r="D290" s="2"/>
      <c r="E290" s="14"/>
      <c r="F290" s="2"/>
      <c r="G290" s="2"/>
      <c r="H290" s="2"/>
      <c r="I290" s="2"/>
      <c r="J290" s="2"/>
      <c r="K290" s="2"/>
      <c r="L290" s="2"/>
      <c r="M290" s="2"/>
      <c r="N290" s="2"/>
      <c r="O290" s="2"/>
    </row>
    <row r="291" spans="2:15" ht="14">
      <c r="B291" s="17"/>
      <c r="C291" s="2"/>
      <c r="D291" s="2"/>
      <c r="E291" s="14"/>
      <c r="F291" s="2"/>
      <c r="G291" s="2"/>
      <c r="H291" s="2"/>
      <c r="I291" s="2"/>
      <c r="J291" s="2"/>
      <c r="K291" s="2"/>
      <c r="L291" s="2"/>
      <c r="M291" s="2"/>
      <c r="N291" s="2"/>
      <c r="O291" s="2"/>
    </row>
    <row r="292" spans="2:15" ht="14">
      <c r="B292" s="17"/>
      <c r="C292" s="2"/>
      <c r="D292" s="2"/>
      <c r="E292" s="14"/>
      <c r="F292" s="2"/>
      <c r="G292" s="2"/>
      <c r="H292" s="2"/>
      <c r="I292" s="2"/>
      <c r="J292" s="2"/>
      <c r="K292" s="2"/>
      <c r="L292" s="2"/>
      <c r="M292" s="2"/>
      <c r="N292" s="2"/>
      <c r="O292" s="2"/>
    </row>
    <row r="293" spans="2:15" ht="14">
      <c r="B293" s="17"/>
      <c r="C293" s="2"/>
      <c r="D293" s="2"/>
      <c r="E293" s="14"/>
      <c r="F293" s="2"/>
      <c r="G293" s="2"/>
      <c r="H293" s="2"/>
      <c r="I293" s="2"/>
      <c r="J293" s="2"/>
      <c r="K293" s="2"/>
      <c r="L293" s="2"/>
      <c r="M293" s="2"/>
      <c r="N293" s="2"/>
      <c r="O293" s="2"/>
    </row>
    <row r="294" spans="2:15" ht="14">
      <c r="B294" s="17"/>
      <c r="C294" s="2"/>
      <c r="D294" s="2"/>
      <c r="E294" s="14"/>
      <c r="F294" s="2"/>
      <c r="G294" s="2"/>
      <c r="H294" s="2"/>
      <c r="I294" s="2"/>
      <c r="J294" s="2"/>
      <c r="K294" s="2"/>
      <c r="L294" s="2"/>
      <c r="M294" s="2"/>
      <c r="N294" s="2"/>
      <c r="O294" s="2"/>
    </row>
    <row r="295" spans="2:15" ht="14">
      <c r="B295" s="17"/>
      <c r="C295" s="2"/>
      <c r="D295" s="2"/>
      <c r="E295" s="14"/>
      <c r="F295" s="2"/>
      <c r="G295" s="2"/>
      <c r="H295" s="2"/>
      <c r="I295" s="2"/>
      <c r="J295" s="2"/>
      <c r="K295" s="2"/>
      <c r="L295" s="2"/>
      <c r="M295" s="2"/>
      <c r="N295" s="2"/>
      <c r="O295" s="2"/>
    </row>
    <row r="296" spans="2:15" ht="14">
      <c r="B296" s="17"/>
      <c r="C296" s="2"/>
      <c r="D296" s="2"/>
      <c r="E296" s="14"/>
      <c r="F296" s="2"/>
      <c r="G296" s="2"/>
      <c r="H296" s="2"/>
      <c r="I296" s="2"/>
      <c r="J296" s="2"/>
      <c r="K296" s="2"/>
      <c r="L296" s="2"/>
      <c r="M296" s="2"/>
      <c r="N296" s="2"/>
      <c r="O296" s="2"/>
    </row>
    <row r="297" spans="2:15" ht="14">
      <c r="B297" s="17"/>
      <c r="C297" s="2"/>
      <c r="D297" s="2"/>
      <c r="E297" s="14"/>
      <c r="F297" s="2"/>
      <c r="G297" s="2"/>
      <c r="H297" s="2"/>
      <c r="I297" s="2"/>
      <c r="J297" s="2"/>
      <c r="K297" s="2"/>
      <c r="L297" s="2"/>
      <c r="M297" s="2"/>
      <c r="N297" s="2"/>
      <c r="O297" s="2"/>
    </row>
    <row r="298" spans="2:15" ht="14">
      <c r="B298" s="17"/>
      <c r="C298" s="2"/>
      <c r="D298" s="2"/>
      <c r="E298" s="14"/>
      <c r="F298" s="2"/>
      <c r="G298" s="2"/>
      <c r="H298" s="2"/>
      <c r="I298" s="2"/>
      <c r="J298" s="2"/>
      <c r="K298" s="2"/>
      <c r="L298" s="2"/>
      <c r="M298" s="2"/>
      <c r="N298" s="2"/>
      <c r="O298" s="2"/>
    </row>
    <row r="299" spans="2:15" ht="14">
      <c r="B299" s="17"/>
      <c r="C299" s="2"/>
      <c r="D299" s="2"/>
      <c r="E299" s="14"/>
      <c r="F299" s="2"/>
      <c r="G299" s="2"/>
      <c r="H299" s="2"/>
      <c r="I299" s="2"/>
      <c r="J299" s="2"/>
      <c r="K299" s="2"/>
      <c r="L299" s="2"/>
      <c r="M299" s="2"/>
      <c r="N299" s="2"/>
      <c r="O299" s="2"/>
    </row>
    <row r="300" spans="2:15" ht="14">
      <c r="B300" s="17"/>
      <c r="C300" s="2"/>
      <c r="D300" s="2"/>
      <c r="E300" s="14"/>
      <c r="F300" s="2"/>
      <c r="G300" s="2"/>
      <c r="H300" s="2"/>
      <c r="I300" s="2"/>
      <c r="J300" s="2"/>
      <c r="K300" s="2"/>
      <c r="L300" s="2"/>
      <c r="M300" s="2"/>
      <c r="N300" s="2"/>
      <c r="O300" s="2"/>
    </row>
    <row r="301" spans="2:15" ht="14">
      <c r="B301" s="17"/>
      <c r="C301" s="2"/>
      <c r="D301" s="2"/>
      <c r="E301" s="14"/>
      <c r="F301" s="2"/>
      <c r="G301" s="2"/>
      <c r="H301" s="2"/>
      <c r="I301" s="2"/>
      <c r="J301" s="2"/>
      <c r="K301" s="2"/>
      <c r="L301" s="2"/>
      <c r="M301" s="2"/>
      <c r="N301" s="2"/>
      <c r="O301" s="2"/>
    </row>
    <row r="302" spans="2:15" ht="14">
      <c r="B302" s="17"/>
      <c r="C302" s="2"/>
      <c r="D302" s="2"/>
      <c r="E302" s="14"/>
      <c r="F302" s="2"/>
      <c r="G302" s="2"/>
      <c r="H302" s="2"/>
      <c r="I302" s="2"/>
      <c r="J302" s="2"/>
      <c r="K302" s="2"/>
      <c r="L302" s="2"/>
      <c r="M302" s="2"/>
      <c r="N302" s="2"/>
      <c r="O302" s="2"/>
    </row>
    <row r="303" spans="2:15" ht="14">
      <c r="B303" s="17"/>
      <c r="C303" s="2"/>
      <c r="D303" s="2"/>
      <c r="E303" s="14"/>
      <c r="F303" s="2"/>
      <c r="G303" s="2"/>
      <c r="H303" s="2"/>
      <c r="I303" s="2"/>
      <c r="J303" s="2"/>
      <c r="K303" s="2"/>
      <c r="L303" s="2"/>
      <c r="M303" s="2"/>
      <c r="N303" s="2"/>
      <c r="O303" s="2"/>
    </row>
    <row r="304" spans="2:15" ht="14">
      <c r="B304" s="17"/>
      <c r="C304" s="2"/>
      <c r="D304" s="2"/>
      <c r="E304" s="14"/>
      <c r="F304" s="2"/>
      <c r="G304" s="2"/>
      <c r="H304" s="2"/>
      <c r="I304" s="2"/>
      <c r="J304" s="2"/>
      <c r="K304" s="2"/>
      <c r="L304" s="2"/>
      <c r="M304" s="2"/>
      <c r="N304" s="2"/>
      <c r="O304" s="2"/>
    </row>
    <row r="305" spans="2:15" ht="14">
      <c r="B305" s="17"/>
      <c r="C305" s="2"/>
      <c r="D305" s="2"/>
      <c r="E305" s="14"/>
      <c r="F305" s="2"/>
      <c r="G305" s="2"/>
      <c r="H305" s="2"/>
      <c r="I305" s="2"/>
      <c r="J305" s="2"/>
      <c r="K305" s="2"/>
      <c r="L305" s="2"/>
      <c r="M305" s="2"/>
      <c r="N305" s="2"/>
      <c r="O305" s="2"/>
    </row>
    <row r="306" spans="2:15" ht="14">
      <c r="B306" s="17"/>
      <c r="C306" s="2"/>
      <c r="D306" s="2"/>
      <c r="E306" s="14"/>
      <c r="F306" s="2"/>
      <c r="G306" s="2"/>
      <c r="H306" s="2"/>
      <c r="I306" s="2"/>
      <c r="J306" s="2"/>
      <c r="K306" s="2"/>
      <c r="L306" s="2"/>
      <c r="M306" s="2"/>
      <c r="N306" s="2"/>
      <c r="O306" s="2"/>
    </row>
    <row r="307" spans="2:15" ht="14">
      <c r="B307" s="17"/>
      <c r="C307" s="2"/>
      <c r="D307" s="2"/>
      <c r="E307" s="14"/>
      <c r="F307" s="2"/>
      <c r="G307" s="2"/>
      <c r="H307" s="2"/>
      <c r="I307" s="2"/>
      <c r="J307" s="2"/>
      <c r="K307" s="2"/>
      <c r="L307" s="2"/>
      <c r="M307" s="2"/>
      <c r="N307" s="2"/>
      <c r="O307" s="2"/>
    </row>
    <row r="308" spans="2:15" ht="14">
      <c r="B308" s="17"/>
      <c r="C308" s="2"/>
      <c r="D308" s="2"/>
      <c r="E308" s="14"/>
      <c r="F308" s="2"/>
      <c r="G308" s="2"/>
      <c r="H308" s="2"/>
      <c r="I308" s="2"/>
      <c r="J308" s="2"/>
      <c r="K308" s="2"/>
      <c r="L308" s="2"/>
      <c r="M308" s="2"/>
      <c r="N308" s="2"/>
      <c r="O308" s="2"/>
    </row>
    <row r="309" spans="2:15" ht="14">
      <c r="B309" s="17"/>
      <c r="C309" s="2"/>
      <c r="D309" s="2"/>
      <c r="E309" s="14"/>
      <c r="F309" s="2"/>
      <c r="G309" s="2"/>
      <c r="H309" s="2"/>
      <c r="I309" s="2"/>
      <c r="J309" s="2"/>
      <c r="K309" s="2"/>
      <c r="L309" s="2"/>
      <c r="M309" s="2"/>
      <c r="N309" s="2"/>
      <c r="O309" s="2"/>
    </row>
    <row r="310" spans="2:15" ht="14">
      <c r="B310" s="17"/>
      <c r="C310" s="2"/>
      <c r="D310" s="2"/>
      <c r="E310" s="14"/>
      <c r="F310" s="2"/>
      <c r="G310" s="2"/>
      <c r="H310" s="2"/>
      <c r="I310" s="2"/>
      <c r="J310" s="2"/>
      <c r="K310" s="2"/>
      <c r="L310" s="2"/>
      <c r="M310" s="2"/>
      <c r="N310" s="2"/>
      <c r="O310" s="2"/>
    </row>
    <row r="311" spans="2:15" ht="14">
      <c r="B311" s="17"/>
      <c r="C311" s="2"/>
      <c r="D311" s="2"/>
      <c r="E311" s="14"/>
      <c r="F311" s="2"/>
      <c r="G311" s="2"/>
      <c r="H311" s="2"/>
      <c r="I311" s="2"/>
      <c r="J311" s="2"/>
      <c r="K311" s="2"/>
      <c r="L311" s="2"/>
      <c r="M311" s="2"/>
      <c r="N311" s="2"/>
      <c r="O311" s="2"/>
    </row>
    <row r="312" spans="2:15" ht="14">
      <c r="B312" s="17"/>
      <c r="C312" s="2"/>
      <c r="D312" s="2"/>
      <c r="E312" s="14"/>
      <c r="F312" s="2"/>
      <c r="G312" s="2"/>
      <c r="H312" s="2"/>
      <c r="I312" s="2"/>
      <c r="J312" s="2"/>
      <c r="K312" s="2"/>
      <c r="L312" s="2"/>
      <c r="M312" s="2"/>
      <c r="N312" s="2"/>
      <c r="O312" s="2"/>
    </row>
    <row r="313" spans="2:15" ht="14">
      <c r="B313" s="17"/>
      <c r="C313" s="2"/>
      <c r="D313" s="2"/>
      <c r="E313" s="14"/>
      <c r="F313" s="2"/>
      <c r="G313" s="2"/>
      <c r="H313" s="2"/>
      <c r="I313" s="2"/>
      <c r="J313" s="2"/>
      <c r="K313" s="2"/>
      <c r="L313" s="2"/>
      <c r="M313" s="2"/>
      <c r="N313" s="2"/>
      <c r="O313" s="2"/>
    </row>
    <row r="314" spans="2:15" ht="14">
      <c r="B314" s="17"/>
      <c r="C314" s="2"/>
      <c r="D314" s="2"/>
      <c r="E314" s="14"/>
      <c r="F314" s="2"/>
      <c r="G314" s="2"/>
      <c r="H314" s="2"/>
      <c r="I314" s="2"/>
      <c r="J314" s="2"/>
      <c r="K314" s="2"/>
      <c r="L314" s="2"/>
      <c r="M314" s="2"/>
      <c r="N314" s="2"/>
      <c r="O314" s="2"/>
    </row>
    <row r="315" spans="2:15" ht="14">
      <c r="B315" s="17"/>
      <c r="C315" s="2"/>
      <c r="D315" s="2"/>
      <c r="E315" s="14"/>
      <c r="F315" s="2"/>
      <c r="G315" s="2"/>
      <c r="H315" s="2"/>
      <c r="I315" s="2"/>
      <c r="J315" s="2"/>
      <c r="K315" s="2"/>
      <c r="L315" s="2"/>
      <c r="M315" s="2"/>
      <c r="N315" s="2"/>
      <c r="O315" s="2"/>
    </row>
    <row r="316" spans="2:15" ht="14">
      <c r="B316" s="17"/>
      <c r="C316" s="2"/>
      <c r="D316" s="2"/>
      <c r="E316" s="14"/>
      <c r="F316" s="2"/>
      <c r="G316" s="2"/>
      <c r="H316" s="2"/>
      <c r="I316" s="2"/>
      <c r="J316" s="2"/>
      <c r="K316" s="2"/>
      <c r="L316" s="2"/>
      <c r="M316" s="2"/>
      <c r="N316" s="2"/>
      <c r="O316" s="2"/>
    </row>
    <row r="317" spans="2:15" ht="14">
      <c r="B317" s="17"/>
      <c r="C317" s="2"/>
      <c r="D317" s="2"/>
      <c r="E317" s="14"/>
      <c r="F317" s="2"/>
      <c r="G317" s="2"/>
      <c r="H317" s="2"/>
      <c r="I317" s="2"/>
      <c r="J317" s="2"/>
      <c r="K317" s="2"/>
      <c r="L317" s="2"/>
      <c r="M317" s="2"/>
      <c r="N317" s="2"/>
      <c r="O317" s="2"/>
    </row>
    <row r="318" spans="2:15" ht="14">
      <c r="B318" s="17"/>
      <c r="C318" s="2"/>
      <c r="D318" s="2"/>
      <c r="E318" s="14"/>
      <c r="F318" s="2"/>
      <c r="G318" s="2"/>
      <c r="H318" s="2"/>
      <c r="I318" s="2"/>
      <c r="J318" s="2"/>
      <c r="K318" s="2"/>
      <c r="L318" s="2"/>
      <c r="M318" s="2"/>
      <c r="N318" s="2"/>
      <c r="O318" s="2"/>
    </row>
    <row r="319" spans="2:15" ht="14">
      <c r="B319" s="17"/>
      <c r="C319" s="2"/>
      <c r="D319" s="2"/>
      <c r="E319" s="14"/>
      <c r="F319" s="2"/>
      <c r="G319" s="2"/>
      <c r="H319" s="2"/>
      <c r="I319" s="2"/>
      <c r="J319" s="2"/>
      <c r="K319" s="2"/>
      <c r="L319" s="2"/>
      <c r="M319" s="2"/>
      <c r="N319" s="2"/>
      <c r="O319" s="2"/>
    </row>
    <row r="320" spans="2:15" ht="14">
      <c r="B320" s="17"/>
      <c r="C320" s="2"/>
      <c r="D320" s="2"/>
      <c r="E320" s="14"/>
      <c r="F320" s="2"/>
      <c r="G320" s="2"/>
      <c r="H320" s="2"/>
      <c r="I320" s="2"/>
      <c r="J320" s="2"/>
      <c r="K320" s="2"/>
      <c r="L320" s="2"/>
      <c r="M320" s="2"/>
      <c r="N320" s="2"/>
      <c r="O320" s="2"/>
    </row>
    <row r="321" spans="2:15" ht="14">
      <c r="B321" s="17"/>
      <c r="C321" s="2"/>
      <c r="D321" s="2"/>
      <c r="E321" s="14"/>
      <c r="F321" s="2"/>
      <c r="G321" s="2"/>
      <c r="H321" s="2"/>
      <c r="I321" s="2"/>
      <c r="J321" s="2"/>
      <c r="K321" s="2"/>
      <c r="L321" s="2"/>
      <c r="M321" s="2"/>
      <c r="N321" s="2"/>
      <c r="O321" s="2"/>
    </row>
    <row r="322" spans="2:15" ht="14">
      <c r="B322" s="17"/>
      <c r="C322" s="2"/>
      <c r="D322" s="2"/>
      <c r="E322" s="14"/>
      <c r="F322" s="2"/>
      <c r="G322" s="2"/>
      <c r="H322" s="2"/>
      <c r="I322" s="2"/>
      <c r="J322" s="2"/>
      <c r="K322" s="2"/>
      <c r="L322" s="2"/>
      <c r="M322" s="2"/>
      <c r="N322" s="2"/>
      <c r="O322" s="2"/>
    </row>
    <row r="323" spans="2:15" ht="14">
      <c r="B323" s="17"/>
      <c r="C323" s="2"/>
      <c r="D323" s="2"/>
      <c r="E323" s="14"/>
      <c r="F323" s="2"/>
      <c r="G323" s="2"/>
      <c r="H323" s="2"/>
      <c r="I323" s="2"/>
      <c r="J323" s="2"/>
      <c r="K323" s="2"/>
      <c r="L323" s="2"/>
      <c r="M323" s="2"/>
      <c r="N323" s="2"/>
      <c r="O323" s="2"/>
    </row>
    <row r="324" spans="2:15" ht="14">
      <c r="B324" s="17"/>
      <c r="C324" s="2"/>
      <c r="D324" s="2"/>
      <c r="E324" s="14"/>
      <c r="F324" s="2"/>
      <c r="G324" s="2"/>
      <c r="H324" s="2"/>
      <c r="I324" s="2"/>
      <c r="J324" s="2"/>
      <c r="K324" s="2"/>
      <c r="L324" s="2"/>
      <c r="M324" s="2"/>
      <c r="N324" s="2"/>
      <c r="O324" s="2"/>
    </row>
    <row r="325" spans="2:15" ht="14">
      <c r="B325" s="17"/>
      <c r="C325" s="2"/>
      <c r="D325" s="2"/>
      <c r="E325" s="14"/>
      <c r="F325" s="2"/>
      <c r="G325" s="2"/>
      <c r="H325" s="2"/>
      <c r="I325" s="2"/>
      <c r="J325" s="2"/>
      <c r="K325" s="2"/>
      <c r="L325" s="2"/>
      <c r="M325" s="2"/>
      <c r="N325" s="2"/>
      <c r="O325" s="2"/>
    </row>
    <row r="326" spans="2:15" ht="14">
      <c r="B326" s="17"/>
      <c r="C326" s="2"/>
      <c r="D326" s="2"/>
      <c r="E326" s="14"/>
      <c r="F326" s="2"/>
      <c r="G326" s="2"/>
      <c r="H326" s="2"/>
      <c r="I326" s="2"/>
      <c r="J326" s="2"/>
      <c r="K326" s="2"/>
      <c r="L326" s="2"/>
      <c r="M326" s="2"/>
      <c r="N326" s="2"/>
      <c r="O326" s="2"/>
    </row>
    <row r="327" spans="2:15" ht="14">
      <c r="B327" s="17"/>
      <c r="C327" s="2"/>
      <c r="D327" s="2"/>
      <c r="E327" s="14"/>
      <c r="F327" s="2"/>
      <c r="G327" s="2"/>
      <c r="H327" s="2"/>
      <c r="I327" s="2"/>
      <c r="J327" s="2"/>
      <c r="K327" s="2"/>
      <c r="L327" s="2"/>
      <c r="M327" s="2"/>
      <c r="N327" s="2"/>
      <c r="O327" s="2"/>
    </row>
    <row r="328" spans="2:15" ht="14">
      <c r="B328" s="17"/>
      <c r="C328" s="2"/>
      <c r="D328" s="2"/>
      <c r="E328" s="14"/>
      <c r="F328" s="2"/>
      <c r="G328" s="2"/>
      <c r="H328" s="2"/>
      <c r="I328" s="2"/>
      <c r="J328" s="2"/>
      <c r="K328" s="2"/>
      <c r="L328" s="2"/>
      <c r="M328" s="2"/>
      <c r="N328" s="2"/>
      <c r="O328" s="2"/>
    </row>
    <row r="329" spans="2:15" ht="14">
      <c r="B329" s="17"/>
      <c r="C329" s="2"/>
      <c r="D329" s="2"/>
      <c r="E329" s="14"/>
      <c r="F329" s="2"/>
      <c r="G329" s="2"/>
      <c r="H329" s="2"/>
      <c r="I329" s="2"/>
      <c r="J329" s="2"/>
      <c r="K329" s="2"/>
      <c r="L329" s="2"/>
      <c r="M329" s="2"/>
      <c r="N329" s="2"/>
      <c r="O329" s="2"/>
    </row>
    <row r="330" spans="2:15" ht="14">
      <c r="B330" s="17"/>
      <c r="C330" s="2"/>
      <c r="D330" s="2"/>
      <c r="E330" s="14"/>
      <c r="F330" s="2"/>
      <c r="G330" s="2"/>
      <c r="H330" s="2"/>
      <c r="I330" s="2"/>
      <c r="J330" s="2"/>
      <c r="K330" s="2"/>
      <c r="L330" s="2"/>
      <c r="M330" s="2"/>
      <c r="N330" s="2"/>
      <c r="O330" s="2"/>
    </row>
    <row r="331" spans="2:15" ht="14">
      <c r="B331" s="17"/>
      <c r="C331" s="2"/>
      <c r="D331" s="2"/>
      <c r="E331" s="14"/>
      <c r="F331" s="2"/>
      <c r="G331" s="2"/>
      <c r="H331" s="2"/>
      <c r="I331" s="2"/>
      <c r="J331" s="2"/>
      <c r="K331" s="2"/>
      <c r="L331" s="2"/>
      <c r="M331" s="2"/>
      <c r="N331" s="2"/>
      <c r="O331" s="2"/>
    </row>
    <row r="332" spans="2:15" ht="14">
      <c r="B332" s="17"/>
      <c r="C332" s="2"/>
      <c r="D332" s="2"/>
      <c r="E332" s="14"/>
      <c r="F332" s="2"/>
      <c r="G332" s="2"/>
      <c r="H332" s="2"/>
      <c r="I332" s="2"/>
      <c r="J332" s="2"/>
      <c r="K332" s="2"/>
      <c r="L332" s="2"/>
      <c r="M332" s="2"/>
      <c r="N332" s="2"/>
      <c r="O332" s="2"/>
    </row>
    <row r="333" spans="2:15" ht="14">
      <c r="B333" s="17"/>
      <c r="C333" s="2"/>
      <c r="D333" s="2"/>
      <c r="E333" s="14"/>
      <c r="F333" s="2"/>
      <c r="G333" s="2"/>
      <c r="H333" s="2"/>
      <c r="I333" s="2"/>
      <c r="J333" s="2"/>
      <c r="K333" s="2"/>
      <c r="L333" s="2"/>
      <c r="M333" s="2"/>
      <c r="N333" s="2"/>
      <c r="O333" s="2"/>
    </row>
    <row r="334" spans="2:15" ht="14">
      <c r="B334" s="17"/>
      <c r="C334" s="2"/>
      <c r="D334" s="2"/>
      <c r="E334" s="14"/>
      <c r="F334" s="2"/>
      <c r="G334" s="2"/>
      <c r="H334" s="2"/>
      <c r="I334" s="2"/>
      <c r="J334" s="2"/>
      <c r="K334" s="2"/>
      <c r="L334" s="2"/>
      <c r="M334" s="2"/>
      <c r="N334" s="2"/>
      <c r="O334" s="2"/>
    </row>
    <row r="335" spans="2:15" ht="14">
      <c r="B335" s="17"/>
      <c r="C335" s="2"/>
      <c r="D335" s="2"/>
      <c r="E335" s="14"/>
      <c r="F335" s="2"/>
      <c r="G335" s="2"/>
      <c r="H335" s="2"/>
      <c r="I335" s="2"/>
      <c r="J335" s="2"/>
      <c r="K335" s="2"/>
      <c r="L335" s="2"/>
      <c r="M335" s="2"/>
      <c r="N335" s="2"/>
      <c r="O335" s="2"/>
    </row>
    <row r="336" spans="2:15" ht="14">
      <c r="B336" s="17"/>
      <c r="C336" s="2"/>
      <c r="D336" s="2"/>
      <c r="E336" s="14"/>
      <c r="F336" s="2"/>
      <c r="G336" s="2"/>
      <c r="H336" s="2"/>
      <c r="I336" s="2"/>
      <c r="J336" s="2"/>
      <c r="K336" s="2"/>
      <c r="L336" s="2"/>
      <c r="M336" s="2"/>
      <c r="N336" s="2"/>
      <c r="O336" s="2"/>
    </row>
    <row r="337" spans="2:15" ht="14">
      <c r="B337" s="17"/>
      <c r="C337" s="2"/>
      <c r="D337" s="2"/>
      <c r="E337" s="14"/>
      <c r="F337" s="2"/>
      <c r="G337" s="2"/>
      <c r="H337" s="2"/>
      <c r="I337" s="2"/>
      <c r="J337" s="2"/>
      <c r="K337" s="2"/>
      <c r="L337" s="2"/>
      <c r="M337" s="2"/>
      <c r="N337" s="2"/>
      <c r="O337" s="2"/>
    </row>
    <row r="338" spans="2:15" ht="14">
      <c r="B338" s="17"/>
      <c r="C338" s="2"/>
      <c r="D338" s="2"/>
      <c r="E338" s="14"/>
      <c r="F338" s="2"/>
      <c r="G338" s="2"/>
      <c r="H338" s="2"/>
      <c r="I338" s="2"/>
      <c r="J338" s="2"/>
      <c r="K338" s="2"/>
      <c r="L338" s="2"/>
      <c r="M338" s="2"/>
      <c r="N338" s="2"/>
      <c r="O338" s="2"/>
    </row>
    <row r="339" spans="2:15" ht="14">
      <c r="B339" s="17"/>
      <c r="C339" s="2"/>
      <c r="D339" s="2"/>
      <c r="E339" s="14"/>
      <c r="F339" s="2"/>
      <c r="G339" s="2"/>
      <c r="H339" s="2"/>
      <c r="I339" s="2"/>
      <c r="J339" s="2"/>
      <c r="K339" s="2"/>
      <c r="L339" s="2"/>
      <c r="M339" s="2"/>
      <c r="N339" s="2"/>
      <c r="O339" s="2"/>
    </row>
    <row r="340" spans="2:15" ht="14">
      <c r="B340" s="17"/>
      <c r="C340" s="2"/>
      <c r="D340" s="2"/>
      <c r="E340" s="14"/>
      <c r="F340" s="2"/>
      <c r="G340" s="2"/>
      <c r="H340" s="2"/>
      <c r="I340" s="2"/>
      <c r="J340" s="2"/>
      <c r="K340" s="2"/>
      <c r="L340" s="2"/>
      <c r="M340" s="2"/>
      <c r="N340" s="2"/>
      <c r="O340" s="2"/>
    </row>
    <row r="341" spans="2:15" ht="14">
      <c r="B341" s="17"/>
      <c r="C341" s="2"/>
      <c r="D341" s="2"/>
      <c r="E341" s="14"/>
      <c r="F341" s="2"/>
      <c r="G341" s="2"/>
      <c r="H341" s="2"/>
      <c r="I341" s="2"/>
      <c r="J341" s="2"/>
      <c r="K341" s="2"/>
      <c r="L341" s="2"/>
      <c r="M341" s="2"/>
      <c r="N341" s="2"/>
      <c r="O341" s="2"/>
    </row>
    <row r="342" spans="2:15" ht="14">
      <c r="B342" s="17"/>
      <c r="C342" s="2"/>
      <c r="D342" s="2"/>
      <c r="E342" s="14"/>
      <c r="F342" s="2"/>
      <c r="G342" s="2"/>
      <c r="H342" s="2"/>
      <c r="I342" s="2"/>
      <c r="J342" s="2"/>
      <c r="K342" s="2"/>
      <c r="L342" s="2"/>
      <c r="M342" s="2"/>
      <c r="N342" s="2"/>
      <c r="O342" s="2"/>
    </row>
    <row r="343" spans="2:15" ht="14">
      <c r="B343" s="17"/>
      <c r="C343" s="2"/>
      <c r="D343" s="2"/>
      <c r="E343" s="14"/>
      <c r="F343" s="2"/>
      <c r="G343" s="2"/>
      <c r="H343" s="2"/>
      <c r="I343" s="2"/>
      <c r="J343" s="2"/>
      <c r="K343" s="2"/>
      <c r="L343" s="2"/>
      <c r="M343" s="2"/>
      <c r="N343" s="2"/>
      <c r="O343" s="2"/>
    </row>
    <row r="344" spans="2:15" ht="14">
      <c r="B344" s="17"/>
      <c r="C344" s="2"/>
      <c r="D344" s="2"/>
      <c r="E344" s="14"/>
      <c r="F344" s="2"/>
      <c r="G344" s="2"/>
      <c r="H344" s="2"/>
      <c r="I344" s="2"/>
      <c r="J344" s="2"/>
      <c r="K344" s="2"/>
      <c r="L344" s="2"/>
      <c r="M344" s="2"/>
      <c r="N344" s="2"/>
      <c r="O344" s="2"/>
    </row>
    <row r="345" spans="2:15" ht="14">
      <c r="B345" s="17"/>
      <c r="C345" s="2"/>
      <c r="D345" s="2"/>
      <c r="E345" s="14"/>
      <c r="F345" s="2"/>
      <c r="G345" s="2"/>
      <c r="H345" s="2"/>
      <c r="I345" s="2"/>
      <c r="J345" s="2"/>
      <c r="K345" s="2"/>
      <c r="L345" s="2"/>
      <c r="M345" s="2"/>
      <c r="N345" s="2"/>
      <c r="O345" s="2"/>
    </row>
    <row r="346" spans="2:15" ht="14">
      <c r="B346" s="17"/>
      <c r="C346" s="2"/>
      <c r="D346" s="2"/>
      <c r="E346" s="14"/>
      <c r="F346" s="2"/>
      <c r="G346" s="2"/>
      <c r="H346" s="2"/>
      <c r="I346" s="2"/>
      <c r="J346" s="2"/>
      <c r="K346" s="2"/>
      <c r="L346" s="2"/>
      <c r="M346" s="2"/>
      <c r="N346" s="2"/>
      <c r="O346" s="2"/>
    </row>
    <row r="347" spans="2:15" ht="14">
      <c r="B347" s="17"/>
      <c r="C347" s="2"/>
      <c r="D347" s="2"/>
      <c r="E347" s="14"/>
      <c r="F347" s="2"/>
      <c r="G347" s="2"/>
      <c r="H347" s="2"/>
      <c r="I347" s="2"/>
      <c r="J347" s="2"/>
      <c r="K347" s="2"/>
      <c r="L347" s="2"/>
      <c r="M347" s="2"/>
      <c r="N347" s="2"/>
      <c r="O347" s="2"/>
    </row>
    <row r="348" spans="2:15" ht="14">
      <c r="B348" s="17"/>
      <c r="C348" s="2"/>
      <c r="D348" s="2"/>
      <c r="E348" s="14"/>
      <c r="F348" s="2"/>
      <c r="G348" s="2"/>
      <c r="H348" s="2"/>
      <c r="I348" s="2"/>
      <c r="J348" s="2"/>
      <c r="K348" s="2"/>
      <c r="L348" s="2"/>
      <c r="M348" s="2"/>
      <c r="N348" s="2"/>
      <c r="O348" s="2"/>
    </row>
    <row r="349" spans="2:15" ht="14">
      <c r="B349" s="17"/>
      <c r="C349" s="2"/>
      <c r="D349" s="2"/>
      <c r="E349" s="14"/>
      <c r="F349" s="2"/>
      <c r="G349" s="2"/>
      <c r="H349" s="2"/>
      <c r="I349" s="2"/>
      <c r="J349" s="2"/>
      <c r="K349" s="2"/>
      <c r="L349" s="2"/>
      <c r="M349" s="2"/>
      <c r="N349" s="2"/>
      <c r="O349" s="2"/>
    </row>
    <row r="350" spans="2:15" ht="14">
      <c r="B350" s="17"/>
      <c r="C350" s="2"/>
      <c r="D350" s="2"/>
      <c r="E350" s="14"/>
      <c r="F350" s="2"/>
      <c r="G350" s="2"/>
      <c r="H350" s="2"/>
      <c r="I350" s="2"/>
      <c r="J350" s="2"/>
      <c r="K350" s="2"/>
      <c r="L350" s="2"/>
      <c r="M350" s="2"/>
      <c r="N350" s="2"/>
      <c r="O350" s="2"/>
    </row>
    <row r="351" spans="2:15" ht="14">
      <c r="B351" s="17"/>
      <c r="C351" s="2"/>
      <c r="D351" s="2"/>
      <c r="E351" s="14"/>
      <c r="F351" s="2"/>
      <c r="G351" s="2"/>
      <c r="H351" s="2"/>
      <c r="I351" s="2"/>
      <c r="J351" s="2"/>
      <c r="K351" s="2"/>
      <c r="L351" s="2"/>
      <c r="M351" s="2"/>
      <c r="N351" s="2"/>
      <c r="O351" s="2"/>
    </row>
    <row r="352" spans="2:15" ht="14">
      <c r="B352" s="17"/>
      <c r="C352" s="2"/>
      <c r="D352" s="2"/>
      <c r="E352" s="14"/>
      <c r="F352" s="2"/>
      <c r="G352" s="2"/>
      <c r="H352" s="2"/>
      <c r="I352" s="2"/>
      <c r="J352" s="2"/>
      <c r="K352" s="2"/>
      <c r="L352" s="2"/>
      <c r="M352" s="2"/>
      <c r="N352" s="2"/>
      <c r="O352" s="2"/>
    </row>
    <row r="353" spans="2:15" ht="14">
      <c r="B353" s="17"/>
      <c r="C353" s="2"/>
      <c r="D353" s="2"/>
      <c r="E353" s="14"/>
      <c r="F353" s="2"/>
      <c r="G353" s="2"/>
      <c r="H353" s="2"/>
      <c r="I353" s="2"/>
      <c r="J353" s="2"/>
      <c r="K353" s="2"/>
      <c r="L353" s="2"/>
      <c r="M353" s="2"/>
      <c r="N353" s="2"/>
      <c r="O353" s="2"/>
    </row>
    <row r="354" spans="2:15" ht="14">
      <c r="B354" s="17"/>
      <c r="C354" s="2"/>
      <c r="D354" s="2"/>
      <c r="E354" s="14"/>
      <c r="F354" s="2"/>
      <c r="G354" s="2"/>
      <c r="H354" s="2"/>
      <c r="I354" s="2"/>
      <c r="J354" s="2"/>
      <c r="K354" s="2"/>
      <c r="L354" s="2"/>
      <c r="M354" s="2"/>
      <c r="N354" s="2"/>
      <c r="O354" s="2"/>
    </row>
    <row r="355" spans="2:15" ht="14">
      <c r="B355" s="17"/>
      <c r="C355" s="2"/>
      <c r="D355" s="2"/>
      <c r="E355" s="14"/>
      <c r="F355" s="2"/>
      <c r="G355" s="2"/>
      <c r="H355" s="2"/>
      <c r="I355" s="2"/>
      <c r="J355" s="2"/>
      <c r="K355" s="2"/>
      <c r="L355" s="2"/>
      <c r="M355" s="2"/>
      <c r="N355" s="2"/>
      <c r="O355" s="2"/>
    </row>
    <row r="356" spans="2:15" ht="14">
      <c r="B356" s="17"/>
      <c r="C356" s="2"/>
      <c r="D356" s="2"/>
      <c r="E356" s="14"/>
      <c r="F356" s="2"/>
      <c r="G356" s="2"/>
      <c r="H356" s="2"/>
      <c r="I356" s="2"/>
      <c r="J356" s="2"/>
      <c r="K356" s="2"/>
      <c r="L356" s="2"/>
      <c r="M356" s="2"/>
      <c r="N356" s="2"/>
      <c r="O356" s="2"/>
    </row>
    <row r="357" spans="2:15" ht="14">
      <c r="B357" s="17"/>
      <c r="C357" s="2"/>
      <c r="D357" s="2"/>
      <c r="E357" s="14"/>
      <c r="F357" s="2"/>
      <c r="G357" s="2"/>
      <c r="H357" s="2"/>
      <c r="I357" s="2"/>
      <c r="J357" s="2"/>
      <c r="K357" s="2"/>
      <c r="L357" s="2"/>
      <c r="M357" s="2"/>
      <c r="N357" s="2"/>
      <c r="O357" s="2"/>
    </row>
    <row r="358" spans="2:15" ht="14">
      <c r="B358" s="17"/>
      <c r="C358" s="2"/>
      <c r="D358" s="2"/>
      <c r="E358" s="14"/>
      <c r="F358" s="2"/>
      <c r="G358" s="2"/>
      <c r="H358" s="2"/>
      <c r="I358" s="2"/>
      <c r="J358" s="2"/>
      <c r="K358" s="2"/>
      <c r="L358" s="2"/>
      <c r="M358" s="2"/>
      <c r="N358" s="2"/>
      <c r="O358" s="2"/>
    </row>
    <row r="359" spans="2:15" ht="14">
      <c r="B359" s="17"/>
      <c r="C359" s="2"/>
      <c r="D359" s="2"/>
      <c r="E359" s="14"/>
      <c r="F359" s="2"/>
      <c r="G359" s="2"/>
      <c r="H359" s="2"/>
      <c r="I359" s="2"/>
      <c r="J359" s="2"/>
      <c r="K359" s="2"/>
      <c r="L359" s="2"/>
      <c r="M359" s="2"/>
      <c r="N359" s="2"/>
      <c r="O359" s="2"/>
    </row>
    <row r="360" spans="2:15" ht="14">
      <c r="B360" s="17"/>
      <c r="C360" s="2"/>
      <c r="D360" s="2"/>
      <c r="E360" s="14"/>
      <c r="F360" s="2"/>
      <c r="G360" s="2"/>
      <c r="H360" s="2"/>
      <c r="I360" s="2"/>
      <c r="J360" s="2"/>
      <c r="K360" s="2"/>
      <c r="L360" s="2"/>
      <c r="M360" s="2"/>
      <c r="N360" s="2"/>
      <c r="O360" s="2"/>
    </row>
    <row r="361" spans="2:15" ht="14">
      <c r="B361" s="17"/>
      <c r="C361" s="2"/>
      <c r="D361" s="2"/>
      <c r="E361" s="14"/>
      <c r="F361" s="2"/>
      <c r="G361" s="2"/>
      <c r="H361" s="2"/>
      <c r="I361" s="2"/>
      <c r="J361" s="2"/>
      <c r="K361" s="2"/>
      <c r="L361" s="2"/>
      <c r="M361" s="2"/>
      <c r="N361" s="2"/>
      <c r="O361" s="2"/>
    </row>
    <row r="362" spans="2:15" ht="14">
      <c r="B362" s="17"/>
      <c r="C362" s="2"/>
      <c r="D362" s="2"/>
      <c r="E362" s="14"/>
      <c r="F362" s="2"/>
      <c r="G362" s="2"/>
      <c r="H362" s="2"/>
      <c r="I362" s="2"/>
      <c r="J362" s="2"/>
      <c r="K362" s="2"/>
      <c r="L362" s="2"/>
      <c r="M362" s="2"/>
      <c r="N362" s="2"/>
      <c r="O362" s="2"/>
    </row>
    <row r="363" spans="2:15" ht="14">
      <c r="B363" s="17"/>
      <c r="C363" s="2"/>
      <c r="D363" s="2"/>
      <c r="E363" s="14"/>
      <c r="F363" s="2"/>
      <c r="G363" s="2"/>
      <c r="H363" s="2"/>
      <c r="I363" s="2"/>
      <c r="J363" s="2"/>
      <c r="K363" s="2"/>
      <c r="L363" s="2"/>
      <c r="M363" s="2"/>
      <c r="N363" s="2"/>
      <c r="O363" s="2"/>
    </row>
    <row r="364" spans="2:15" ht="14">
      <c r="B364" s="17"/>
      <c r="C364" s="2"/>
      <c r="D364" s="2"/>
      <c r="E364" s="14"/>
      <c r="F364" s="2"/>
      <c r="G364" s="2"/>
      <c r="H364" s="2"/>
      <c r="I364" s="2"/>
      <c r="J364" s="2"/>
      <c r="K364" s="2"/>
      <c r="L364" s="2"/>
      <c r="M364" s="2"/>
      <c r="N364" s="2"/>
      <c r="O364" s="2"/>
    </row>
    <row r="365" spans="2:15" ht="14">
      <c r="B365" s="17"/>
      <c r="C365" s="2"/>
      <c r="D365" s="2"/>
      <c r="E365" s="14"/>
      <c r="F365" s="2"/>
      <c r="G365" s="2"/>
      <c r="H365" s="2"/>
      <c r="I365" s="2"/>
      <c r="J365" s="2"/>
      <c r="K365" s="2"/>
      <c r="L365" s="2"/>
      <c r="M365" s="2"/>
      <c r="N365" s="2"/>
      <c r="O365" s="2"/>
    </row>
    <row r="366" spans="2:15" ht="14">
      <c r="B366" s="17"/>
      <c r="C366" s="2"/>
      <c r="D366" s="2"/>
      <c r="E366" s="14"/>
      <c r="F366" s="2"/>
      <c r="G366" s="2"/>
      <c r="H366" s="2"/>
      <c r="I366" s="2"/>
      <c r="J366" s="2"/>
      <c r="K366" s="2"/>
      <c r="L366" s="2"/>
      <c r="M366" s="2"/>
      <c r="N366" s="2"/>
      <c r="O366" s="2"/>
    </row>
    <row r="367" spans="2:15" ht="14">
      <c r="B367" s="17"/>
      <c r="C367" s="2"/>
      <c r="D367" s="2"/>
      <c r="E367" s="14"/>
      <c r="F367" s="2"/>
      <c r="G367" s="2"/>
      <c r="H367" s="2"/>
      <c r="I367" s="2"/>
      <c r="J367" s="2"/>
      <c r="K367" s="2"/>
      <c r="L367" s="2"/>
      <c r="M367" s="2"/>
      <c r="N367" s="2"/>
      <c r="O367" s="2"/>
    </row>
    <row r="368" spans="2:15" ht="14">
      <c r="B368" s="17"/>
      <c r="C368" s="2"/>
      <c r="D368" s="2"/>
      <c r="E368" s="14"/>
      <c r="F368" s="2"/>
      <c r="G368" s="2"/>
      <c r="H368" s="2"/>
      <c r="I368" s="2"/>
      <c r="J368" s="2"/>
      <c r="K368" s="2"/>
      <c r="L368" s="2"/>
      <c r="M368" s="2"/>
      <c r="N368" s="2"/>
      <c r="O368" s="2"/>
    </row>
    <row r="369" spans="2:15" ht="14">
      <c r="B369" s="17"/>
      <c r="C369" s="2"/>
      <c r="D369" s="2"/>
      <c r="E369" s="14"/>
      <c r="F369" s="2"/>
      <c r="G369" s="2"/>
      <c r="H369" s="2"/>
      <c r="I369" s="2"/>
      <c r="J369" s="2"/>
      <c r="K369" s="2"/>
      <c r="L369" s="2"/>
      <c r="M369" s="2"/>
      <c r="N369" s="2"/>
      <c r="O369" s="2"/>
    </row>
    <row r="370" spans="2:15" ht="14">
      <c r="B370" s="17"/>
      <c r="C370" s="2"/>
      <c r="D370" s="2"/>
      <c r="E370" s="14"/>
      <c r="F370" s="2"/>
      <c r="G370" s="2"/>
      <c r="H370" s="2"/>
      <c r="I370" s="2"/>
      <c r="J370" s="2"/>
      <c r="K370" s="2"/>
      <c r="L370" s="2"/>
      <c r="M370" s="2"/>
      <c r="N370" s="2"/>
      <c r="O370" s="2"/>
    </row>
    <row r="371" spans="2:15" ht="14">
      <c r="B371" s="17"/>
      <c r="C371" s="2"/>
      <c r="D371" s="2"/>
      <c r="E371" s="14"/>
      <c r="F371" s="2"/>
      <c r="G371" s="2"/>
      <c r="H371" s="2"/>
      <c r="I371" s="2"/>
      <c r="J371" s="2"/>
      <c r="K371" s="2"/>
      <c r="L371" s="2"/>
      <c r="M371" s="2"/>
      <c r="N371" s="2"/>
      <c r="O371" s="2"/>
    </row>
    <row r="372" spans="2:15" ht="14">
      <c r="B372" s="17"/>
      <c r="C372" s="2"/>
      <c r="D372" s="2"/>
      <c r="E372" s="14"/>
      <c r="F372" s="2"/>
      <c r="G372" s="2"/>
      <c r="H372" s="2"/>
      <c r="I372" s="2"/>
      <c r="J372" s="2"/>
      <c r="K372" s="2"/>
      <c r="L372" s="2"/>
      <c r="M372" s="2"/>
      <c r="N372" s="2"/>
      <c r="O372" s="2"/>
    </row>
    <row r="373" spans="2:15" ht="14">
      <c r="B373" s="17"/>
      <c r="C373" s="2"/>
      <c r="D373" s="2"/>
      <c r="E373" s="14"/>
      <c r="F373" s="2"/>
      <c r="G373" s="2"/>
      <c r="H373" s="2"/>
      <c r="I373" s="2"/>
      <c r="J373" s="2"/>
      <c r="K373" s="2"/>
      <c r="L373" s="2"/>
      <c r="M373" s="2"/>
      <c r="N373" s="2"/>
      <c r="O373" s="2"/>
    </row>
    <row r="374" spans="2:15" ht="14">
      <c r="B374" s="17"/>
      <c r="C374" s="2"/>
      <c r="D374" s="2"/>
      <c r="E374" s="14"/>
      <c r="F374" s="2"/>
      <c r="G374" s="2"/>
      <c r="H374" s="2"/>
      <c r="I374" s="2"/>
      <c r="J374" s="2"/>
      <c r="K374" s="2"/>
      <c r="L374" s="2"/>
      <c r="M374" s="2"/>
      <c r="N374" s="2"/>
      <c r="O374" s="2"/>
    </row>
    <row r="375" spans="2:15" ht="14">
      <c r="B375" s="17"/>
      <c r="C375" s="2"/>
      <c r="D375" s="2"/>
      <c r="E375" s="14"/>
      <c r="F375" s="2"/>
      <c r="G375" s="2"/>
      <c r="H375" s="2"/>
      <c r="I375" s="2"/>
      <c r="J375" s="2"/>
      <c r="K375" s="2"/>
      <c r="L375" s="2"/>
      <c r="M375" s="2"/>
      <c r="N375" s="2"/>
      <c r="O375" s="2"/>
    </row>
    <row r="376" spans="2:15" ht="14">
      <c r="B376" s="17"/>
      <c r="C376" s="2"/>
      <c r="D376" s="2"/>
      <c r="E376" s="14"/>
      <c r="F376" s="2"/>
      <c r="G376" s="2"/>
      <c r="H376" s="2"/>
      <c r="I376" s="2"/>
      <c r="J376" s="2"/>
      <c r="K376" s="2"/>
      <c r="L376" s="2"/>
      <c r="M376" s="2"/>
      <c r="N376" s="2"/>
      <c r="O376" s="2"/>
    </row>
    <row r="377" spans="2:15" ht="14">
      <c r="B377" s="17"/>
      <c r="C377" s="2"/>
      <c r="D377" s="2"/>
      <c r="E377" s="14"/>
      <c r="F377" s="2"/>
      <c r="G377" s="2"/>
      <c r="H377" s="2"/>
      <c r="I377" s="2"/>
      <c r="J377" s="2"/>
      <c r="K377" s="2"/>
      <c r="L377" s="2"/>
      <c r="M377" s="2"/>
      <c r="N377" s="2"/>
      <c r="O377" s="2"/>
    </row>
    <row r="378" spans="2:15" ht="14">
      <c r="B378" s="17"/>
      <c r="C378" s="2"/>
      <c r="D378" s="2"/>
      <c r="E378" s="14"/>
      <c r="F378" s="2"/>
      <c r="G378" s="2"/>
      <c r="H378" s="2"/>
      <c r="I378" s="2"/>
      <c r="J378" s="2"/>
      <c r="K378" s="2"/>
      <c r="L378" s="2"/>
      <c r="M378" s="2"/>
      <c r="N378" s="2"/>
      <c r="O378" s="2"/>
    </row>
    <row r="379" spans="2:15" ht="14">
      <c r="B379" s="17"/>
      <c r="C379" s="2"/>
      <c r="D379" s="2"/>
      <c r="E379" s="14"/>
      <c r="F379" s="2"/>
      <c r="G379" s="2"/>
      <c r="H379" s="2"/>
      <c r="I379" s="2"/>
      <c r="J379" s="2"/>
      <c r="K379" s="2"/>
      <c r="L379" s="2"/>
      <c r="M379" s="2"/>
      <c r="N379" s="2"/>
      <c r="O379" s="2"/>
    </row>
    <row r="380" spans="2:15" ht="14">
      <c r="B380" s="17"/>
      <c r="C380" s="2"/>
      <c r="D380" s="2"/>
      <c r="E380" s="14"/>
      <c r="F380" s="2"/>
      <c r="G380" s="2"/>
      <c r="H380" s="2"/>
      <c r="I380" s="2"/>
      <c r="J380" s="2"/>
      <c r="K380" s="2"/>
      <c r="L380" s="2"/>
      <c r="M380" s="2"/>
      <c r="N380" s="2"/>
      <c r="O380" s="2"/>
    </row>
    <row r="381" spans="2:15" ht="14">
      <c r="B381" s="17"/>
      <c r="C381" s="2"/>
      <c r="D381" s="2"/>
      <c r="E381" s="14"/>
      <c r="F381" s="2"/>
      <c r="G381" s="2"/>
      <c r="H381" s="2"/>
      <c r="I381" s="2"/>
      <c r="J381" s="2"/>
      <c r="K381" s="2"/>
      <c r="L381" s="2"/>
      <c r="M381" s="2"/>
      <c r="N381" s="2"/>
      <c r="O381" s="2"/>
    </row>
    <row r="382" spans="2:15" ht="14">
      <c r="B382" s="17"/>
      <c r="C382" s="2"/>
      <c r="D382" s="2"/>
      <c r="E382" s="14"/>
      <c r="F382" s="2"/>
      <c r="G382" s="2"/>
      <c r="H382" s="2"/>
      <c r="I382" s="2"/>
      <c r="J382" s="2"/>
      <c r="K382" s="2"/>
      <c r="L382" s="2"/>
      <c r="M382" s="2"/>
      <c r="N382" s="2"/>
      <c r="O382" s="2"/>
    </row>
    <row r="383" spans="2:15" ht="14">
      <c r="B383" s="17"/>
      <c r="C383" s="2"/>
      <c r="D383" s="2"/>
      <c r="E383" s="14"/>
      <c r="F383" s="2"/>
      <c r="G383" s="2"/>
      <c r="H383" s="2"/>
      <c r="I383" s="2"/>
      <c r="J383" s="2"/>
      <c r="K383" s="2"/>
      <c r="L383" s="2"/>
      <c r="M383" s="2"/>
      <c r="N383" s="2"/>
      <c r="O383" s="2"/>
    </row>
    <row r="384" spans="2:15" ht="14">
      <c r="B384" s="17"/>
      <c r="C384" s="2"/>
      <c r="D384" s="2"/>
      <c r="E384" s="14"/>
      <c r="F384" s="2"/>
      <c r="G384" s="2"/>
      <c r="H384" s="2"/>
      <c r="I384" s="2"/>
      <c r="J384" s="2"/>
      <c r="K384" s="2"/>
      <c r="L384" s="2"/>
      <c r="M384" s="2"/>
      <c r="N384" s="2"/>
      <c r="O384" s="2"/>
    </row>
    <row r="385" spans="2:15" ht="14">
      <c r="B385" s="17"/>
      <c r="C385" s="2"/>
      <c r="D385" s="2"/>
      <c r="E385" s="14"/>
      <c r="F385" s="2"/>
      <c r="G385" s="2"/>
      <c r="H385" s="2"/>
      <c r="I385" s="2"/>
      <c r="J385" s="2"/>
      <c r="K385" s="2"/>
      <c r="L385" s="2"/>
      <c r="M385" s="2"/>
      <c r="N385" s="2"/>
      <c r="O385" s="2"/>
    </row>
    <row r="386" spans="2:15" ht="14">
      <c r="B386" s="17"/>
      <c r="C386" s="2"/>
      <c r="D386" s="2"/>
      <c r="E386" s="14"/>
      <c r="F386" s="2"/>
      <c r="G386" s="2"/>
      <c r="H386" s="2"/>
      <c r="I386" s="2"/>
      <c r="J386" s="2"/>
      <c r="K386" s="2"/>
      <c r="L386" s="2"/>
      <c r="M386" s="2"/>
      <c r="N386" s="2"/>
      <c r="O386" s="2"/>
    </row>
    <row r="387" spans="2:15" ht="14">
      <c r="B387" s="17"/>
      <c r="C387" s="2"/>
      <c r="D387" s="2"/>
      <c r="E387" s="14"/>
      <c r="F387" s="2"/>
      <c r="G387" s="2"/>
      <c r="H387" s="2"/>
      <c r="I387" s="2"/>
      <c r="J387" s="2"/>
      <c r="K387" s="2"/>
      <c r="L387" s="2"/>
      <c r="M387" s="2"/>
      <c r="N387" s="2"/>
      <c r="O387" s="2"/>
    </row>
    <row r="388" spans="2:15" ht="14">
      <c r="B388" s="17"/>
      <c r="C388" s="2"/>
      <c r="D388" s="2"/>
      <c r="E388" s="14"/>
      <c r="F388" s="2"/>
      <c r="G388" s="2"/>
      <c r="H388" s="2"/>
      <c r="I388" s="2"/>
      <c r="J388" s="2"/>
      <c r="K388" s="2"/>
      <c r="L388" s="2"/>
      <c r="M388" s="2"/>
      <c r="N388" s="2"/>
      <c r="O388" s="2"/>
    </row>
    <row r="389" spans="2:15" ht="14">
      <c r="B389" s="17"/>
      <c r="C389" s="2"/>
      <c r="D389" s="2"/>
      <c r="E389" s="14"/>
      <c r="F389" s="2"/>
      <c r="G389" s="2"/>
      <c r="H389" s="2"/>
      <c r="I389" s="2"/>
      <c r="J389" s="2"/>
      <c r="K389" s="2"/>
      <c r="L389" s="2"/>
      <c r="M389" s="2"/>
      <c r="N389" s="2"/>
      <c r="O389" s="2"/>
    </row>
    <row r="390" spans="2:15" ht="14">
      <c r="B390" s="17"/>
      <c r="C390" s="2"/>
      <c r="D390" s="2"/>
      <c r="E390" s="14"/>
      <c r="F390" s="2"/>
      <c r="G390" s="2"/>
      <c r="H390" s="2"/>
      <c r="I390" s="2"/>
      <c r="J390" s="2"/>
      <c r="K390" s="2"/>
      <c r="L390" s="2"/>
      <c r="M390" s="2"/>
      <c r="N390" s="2"/>
      <c r="O390" s="2"/>
    </row>
    <row r="391" spans="2:15" ht="14">
      <c r="B391" s="17"/>
      <c r="C391" s="2"/>
      <c r="D391" s="2"/>
      <c r="E391" s="14"/>
      <c r="F391" s="2"/>
      <c r="G391" s="2"/>
      <c r="H391" s="2"/>
      <c r="I391" s="2"/>
      <c r="J391" s="2"/>
      <c r="K391" s="2"/>
      <c r="L391" s="2"/>
      <c r="M391" s="2"/>
      <c r="N391" s="2"/>
      <c r="O391" s="2"/>
    </row>
    <row r="392" spans="2:15" ht="14">
      <c r="B392" s="17"/>
      <c r="C392" s="2"/>
      <c r="D392" s="2"/>
      <c r="E392" s="14"/>
      <c r="F392" s="2"/>
      <c r="G392" s="2"/>
      <c r="H392" s="2"/>
      <c r="I392" s="2"/>
      <c r="J392" s="2"/>
      <c r="K392" s="2"/>
      <c r="L392" s="2"/>
      <c r="M392" s="2"/>
      <c r="N392" s="2"/>
      <c r="O392" s="2"/>
    </row>
    <row r="393" spans="2:15" ht="14">
      <c r="B393" s="17"/>
      <c r="C393" s="2"/>
      <c r="D393" s="2"/>
      <c r="E393" s="14"/>
      <c r="F393" s="2"/>
      <c r="G393" s="2"/>
      <c r="H393" s="2"/>
      <c r="I393" s="2"/>
      <c r="J393" s="2"/>
      <c r="K393" s="2"/>
      <c r="L393" s="2"/>
      <c r="M393" s="2"/>
      <c r="N393" s="2"/>
      <c r="O393" s="2"/>
    </row>
    <row r="394" spans="2:15" ht="14">
      <c r="B394" s="17"/>
      <c r="C394" s="2"/>
      <c r="D394" s="2"/>
      <c r="E394" s="14"/>
      <c r="F394" s="2"/>
      <c r="G394" s="2"/>
      <c r="H394" s="2"/>
      <c r="I394" s="2"/>
      <c r="J394" s="2"/>
      <c r="K394" s="2"/>
      <c r="L394" s="2"/>
      <c r="M394" s="2"/>
      <c r="N394" s="2"/>
      <c r="O394" s="2"/>
    </row>
    <row r="395" spans="2:15" ht="14">
      <c r="B395" s="17"/>
      <c r="C395" s="2"/>
      <c r="D395" s="2"/>
      <c r="E395" s="14"/>
      <c r="F395" s="2"/>
      <c r="G395" s="2"/>
      <c r="H395" s="2"/>
      <c r="I395" s="2"/>
      <c r="J395" s="2"/>
      <c r="K395" s="2"/>
      <c r="L395" s="2"/>
      <c r="M395" s="2"/>
      <c r="N395" s="2"/>
      <c r="O395" s="2"/>
    </row>
    <row r="396" spans="2:15" ht="14">
      <c r="B396" s="17"/>
      <c r="C396" s="2"/>
      <c r="D396" s="2"/>
      <c r="E396" s="14"/>
      <c r="F396" s="2"/>
      <c r="G396" s="2"/>
      <c r="H396" s="2"/>
      <c r="I396" s="2"/>
      <c r="J396" s="2"/>
      <c r="K396" s="2"/>
      <c r="L396" s="2"/>
      <c r="M396" s="2"/>
      <c r="N396" s="2"/>
      <c r="O396" s="2"/>
    </row>
    <row r="397" spans="2:15" ht="14">
      <c r="B397" s="17"/>
      <c r="C397" s="2"/>
      <c r="D397" s="2"/>
      <c r="E397" s="14"/>
      <c r="F397" s="2"/>
      <c r="G397" s="2"/>
      <c r="H397" s="2"/>
      <c r="I397" s="2"/>
      <c r="J397" s="2"/>
      <c r="K397" s="2"/>
      <c r="L397" s="2"/>
      <c r="M397" s="2"/>
      <c r="N397" s="2"/>
      <c r="O397" s="2"/>
    </row>
    <row r="398" spans="2:15" ht="14">
      <c r="B398" s="17"/>
      <c r="C398" s="2"/>
      <c r="D398" s="2"/>
      <c r="E398" s="14"/>
      <c r="F398" s="2"/>
      <c r="G398" s="2"/>
      <c r="H398" s="2"/>
      <c r="I398" s="2"/>
      <c r="J398" s="2"/>
      <c r="K398" s="2"/>
      <c r="L398" s="2"/>
      <c r="M398" s="2"/>
      <c r="N398" s="2"/>
      <c r="O398" s="2"/>
    </row>
    <row r="399" spans="2:15" ht="14">
      <c r="B399" s="17"/>
      <c r="C399" s="2"/>
      <c r="D399" s="2"/>
      <c r="E399" s="14"/>
      <c r="F399" s="2"/>
      <c r="G399" s="2"/>
      <c r="H399" s="2"/>
      <c r="I399" s="2"/>
      <c r="J399" s="2"/>
      <c r="K399" s="2"/>
      <c r="L399" s="2"/>
      <c r="M399" s="2"/>
      <c r="N399" s="2"/>
      <c r="O399" s="2"/>
    </row>
    <row r="400" spans="2:15" ht="14">
      <c r="B400" s="17"/>
      <c r="C400" s="2"/>
      <c r="D400" s="2"/>
      <c r="E400" s="14"/>
      <c r="F400" s="2"/>
      <c r="G400" s="2"/>
      <c r="H400" s="2"/>
      <c r="I400" s="2"/>
      <c r="J400" s="2"/>
      <c r="K400" s="2"/>
      <c r="L400" s="2"/>
      <c r="M400" s="2"/>
      <c r="N400" s="2"/>
      <c r="O400" s="2"/>
    </row>
    <row r="401" spans="2:15" ht="14">
      <c r="B401" s="17"/>
      <c r="C401" s="2"/>
      <c r="D401" s="2"/>
      <c r="E401" s="14"/>
      <c r="F401" s="2"/>
      <c r="G401" s="2"/>
      <c r="H401" s="2"/>
      <c r="I401" s="2"/>
      <c r="J401" s="2"/>
      <c r="K401" s="2"/>
      <c r="L401" s="2"/>
      <c r="M401" s="2"/>
      <c r="N401" s="2"/>
      <c r="O401" s="2"/>
    </row>
    <row r="402" spans="2:15" ht="14">
      <c r="B402" s="17"/>
      <c r="C402" s="2"/>
      <c r="D402" s="2"/>
      <c r="E402" s="14"/>
      <c r="F402" s="2"/>
      <c r="G402" s="2"/>
      <c r="H402" s="2"/>
      <c r="I402" s="2"/>
      <c r="J402" s="2"/>
      <c r="K402" s="2"/>
      <c r="L402" s="2"/>
      <c r="M402" s="2"/>
      <c r="N402" s="2"/>
      <c r="O402" s="2"/>
    </row>
    <row r="403" spans="2:15" ht="14">
      <c r="B403" s="17"/>
      <c r="C403" s="2"/>
      <c r="D403" s="2"/>
      <c r="E403" s="14"/>
      <c r="F403" s="2"/>
      <c r="G403" s="2"/>
      <c r="H403" s="2"/>
      <c r="I403" s="2"/>
      <c r="J403" s="2"/>
      <c r="K403" s="2"/>
      <c r="L403" s="2"/>
      <c r="M403" s="2"/>
      <c r="N403" s="2"/>
      <c r="O403" s="2"/>
    </row>
    <row r="404" spans="2:15" ht="14">
      <c r="B404" s="17"/>
      <c r="C404" s="2"/>
      <c r="D404" s="2"/>
      <c r="E404" s="14"/>
      <c r="F404" s="2"/>
      <c r="G404" s="2"/>
      <c r="H404" s="2"/>
      <c r="I404" s="2"/>
      <c r="J404" s="2"/>
      <c r="K404" s="2"/>
      <c r="L404" s="2"/>
      <c r="M404" s="2"/>
      <c r="N404" s="2"/>
      <c r="O404" s="2"/>
    </row>
    <row r="405" spans="2:15" ht="14">
      <c r="B405" s="17"/>
      <c r="C405" s="2"/>
      <c r="D405" s="2"/>
      <c r="E405" s="14"/>
      <c r="F405" s="2"/>
      <c r="G405" s="2"/>
      <c r="H405" s="2"/>
      <c r="I405" s="2"/>
      <c r="J405" s="2"/>
      <c r="K405" s="2"/>
      <c r="L405" s="2"/>
      <c r="M405" s="2"/>
      <c r="N405" s="2"/>
      <c r="O405" s="2"/>
    </row>
    <row r="406" spans="2:15" ht="14">
      <c r="B406" s="17"/>
      <c r="C406" s="2"/>
      <c r="D406" s="2"/>
      <c r="E406" s="14"/>
      <c r="F406" s="2"/>
      <c r="G406" s="2"/>
      <c r="H406" s="2"/>
      <c r="I406" s="2"/>
      <c r="J406" s="2"/>
      <c r="K406" s="2"/>
      <c r="L406" s="2"/>
      <c r="M406" s="2"/>
      <c r="N406" s="2"/>
      <c r="O406" s="2"/>
    </row>
    <row r="407" spans="2:15" ht="14">
      <c r="B407" s="17"/>
      <c r="C407" s="2"/>
      <c r="D407" s="2"/>
      <c r="E407" s="14"/>
      <c r="F407" s="2"/>
      <c r="G407" s="2"/>
      <c r="H407" s="2"/>
      <c r="I407" s="2"/>
      <c r="J407" s="2"/>
      <c r="K407" s="2"/>
      <c r="L407" s="2"/>
      <c r="M407" s="2"/>
      <c r="N407" s="2"/>
      <c r="O407" s="2"/>
    </row>
    <row r="408" spans="2:15" ht="14">
      <c r="B408" s="17"/>
      <c r="C408" s="2"/>
      <c r="D408" s="2"/>
      <c r="E408" s="14"/>
      <c r="F408" s="2"/>
      <c r="G408" s="2"/>
      <c r="H408" s="2"/>
      <c r="I408" s="2"/>
      <c r="J408" s="2"/>
      <c r="K408" s="2"/>
      <c r="L408" s="2"/>
      <c r="M408" s="2"/>
      <c r="N408" s="2"/>
      <c r="O408" s="2"/>
    </row>
    <row r="409" spans="2:15" ht="14">
      <c r="B409" s="17"/>
      <c r="C409" s="2"/>
      <c r="D409" s="2"/>
      <c r="E409" s="14"/>
      <c r="F409" s="2"/>
      <c r="G409" s="2"/>
      <c r="H409" s="2"/>
      <c r="I409" s="2"/>
      <c r="J409" s="2"/>
      <c r="K409" s="2"/>
      <c r="L409" s="2"/>
      <c r="M409" s="2"/>
      <c r="N409" s="2"/>
      <c r="O409" s="2"/>
    </row>
    <row r="410" spans="2:15" ht="14">
      <c r="B410" s="17"/>
      <c r="C410" s="2"/>
      <c r="D410" s="2"/>
      <c r="E410" s="14"/>
      <c r="F410" s="2"/>
      <c r="G410" s="2"/>
      <c r="H410" s="2"/>
      <c r="I410" s="2"/>
      <c r="J410" s="2"/>
      <c r="K410" s="2"/>
      <c r="L410" s="2"/>
      <c r="M410" s="2"/>
      <c r="N410" s="2"/>
      <c r="O410" s="2"/>
    </row>
    <row r="411" spans="2:15" ht="14">
      <c r="B411" s="17"/>
      <c r="C411" s="2"/>
      <c r="D411" s="2"/>
      <c r="E411" s="14"/>
      <c r="F411" s="2"/>
      <c r="G411" s="2"/>
      <c r="H411" s="2"/>
      <c r="I411" s="2"/>
      <c r="J411" s="2"/>
      <c r="K411" s="2"/>
      <c r="L411" s="2"/>
      <c r="M411" s="2"/>
      <c r="N411" s="2"/>
      <c r="O411" s="2"/>
    </row>
    <row r="412" spans="2:15" ht="14">
      <c r="B412" s="17"/>
      <c r="C412" s="2"/>
      <c r="D412" s="2"/>
      <c r="E412" s="14"/>
      <c r="F412" s="2"/>
      <c r="G412" s="2"/>
      <c r="H412" s="2"/>
      <c r="I412" s="2"/>
      <c r="J412" s="2"/>
      <c r="K412" s="2"/>
      <c r="L412" s="2"/>
      <c r="M412" s="2"/>
      <c r="N412" s="2"/>
      <c r="O412" s="2"/>
    </row>
    <row r="413" spans="2:15" ht="14">
      <c r="B413" s="17"/>
      <c r="C413" s="2"/>
      <c r="D413" s="2"/>
      <c r="E413" s="14"/>
      <c r="F413" s="2"/>
      <c r="G413" s="2"/>
      <c r="H413" s="2"/>
      <c r="I413" s="2"/>
      <c r="J413" s="2"/>
      <c r="K413" s="2"/>
      <c r="L413" s="2"/>
      <c r="M413" s="2"/>
      <c r="N413" s="2"/>
      <c r="O413" s="2"/>
    </row>
    <row r="414" spans="2:15" ht="14">
      <c r="B414" s="17"/>
      <c r="C414" s="2"/>
      <c r="D414" s="2"/>
      <c r="E414" s="14"/>
      <c r="F414" s="2"/>
      <c r="G414" s="2"/>
      <c r="H414" s="2"/>
      <c r="I414" s="2"/>
      <c r="J414" s="2"/>
      <c r="K414" s="2"/>
      <c r="L414" s="2"/>
      <c r="M414" s="2"/>
      <c r="N414" s="2"/>
      <c r="O414" s="2"/>
    </row>
    <row r="415" spans="2:15" ht="14">
      <c r="B415" s="17"/>
      <c r="C415" s="2"/>
      <c r="D415" s="2"/>
      <c r="E415" s="14"/>
      <c r="F415" s="2"/>
      <c r="G415" s="2"/>
      <c r="H415" s="2"/>
      <c r="I415" s="2"/>
      <c r="J415" s="2"/>
      <c r="K415" s="2"/>
      <c r="L415" s="2"/>
      <c r="M415" s="2"/>
      <c r="N415" s="2"/>
      <c r="O415" s="2"/>
    </row>
    <row r="416" spans="2:15" ht="14">
      <c r="B416" s="17"/>
      <c r="C416" s="2"/>
      <c r="D416" s="2"/>
      <c r="E416" s="14"/>
      <c r="F416" s="2"/>
      <c r="G416" s="2"/>
      <c r="H416" s="2"/>
      <c r="I416" s="2"/>
      <c r="J416" s="2"/>
      <c r="K416" s="2"/>
      <c r="L416" s="2"/>
      <c r="M416" s="2"/>
      <c r="N416" s="2"/>
      <c r="O416" s="2"/>
    </row>
    <row r="417" spans="2:15" ht="14">
      <c r="B417" s="17"/>
      <c r="C417" s="2"/>
      <c r="D417" s="2"/>
      <c r="E417" s="14"/>
      <c r="F417" s="2"/>
      <c r="G417" s="2"/>
      <c r="H417" s="2"/>
      <c r="I417" s="2"/>
      <c r="J417" s="2"/>
      <c r="K417" s="2"/>
      <c r="L417" s="2"/>
      <c r="M417" s="2"/>
      <c r="N417" s="2"/>
      <c r="O417" s="2"/>
    </row>
    <row r="418" spans="2:15" ht="14">
      <c r="B418" s="17"/>
      <c r="C418" s="2"/>
      <c r="D418" s="2"/>
      <c r="E418" s="14"/>
      <c r="F418" s="2"/>
      <c r="G418" s="2"/>
      <c r="H418" s="2"/>
      <c r="I418" s="2"/>
      <c r="J418" s="2"/>
      <c r="K418" s="2"/>
      <c r="L418" s="2"/>
      <c r="M418" s="2"/>
      <c r="N418" s="2"/>
      <c r="O418" s="2"/>
    </row>
    <row r="419" spans="2:15" ht="14">
      <c r="B419" s="17"/>
      <c r="C419" s="2"/>
      <c r="D419" s="2"/>
      <c r="E419" s="14"/>
      <c r="F419" s="2"/>
      <c r="G419" s="2"/>
      <c r="H419" s="2"/>
      <c r="I419" s="2"/>
      <c r="J419" s="2"/>
      <c r="K419" s="2"/>
      <c r="L419" s="2"/>
      <c r="M419" s="2"/>
      <c r="N419" s="2"/>
      <c r="O419" s="2"/>
    </row>
    <row r="420" spans="2:15" ht="14">
      <c r="B420" s="17"/>
      <c r="C420" s="2"/>
      <c r="D420" s="2"/>
      <c r="E420" s="14"/>
      <c r="F420" s="2"/>
      <c r="G420" s="2"/>
      <c r="H420" s="2"/>
      <c r="I420" s="2"/>
      <c r="J420" s="2"/>
      <c r="K420" s="2"/>
      <c r="L420" s="2"/>
      <c r="M420" s="2"/>
      <c r="N420" s="2"/>
      <c r="O420" s="2"/>
    </row>
    <row r="421" spans="2:15" ht="14">
      <c r="B421" s="17"/>
      <c r="C421" s="2"/>
      <c r="D421" s="2"/>
      <c r="E421" s="14"/>
      <c r="F421" s="2"/>
      <c r="G421" s="2"/>
      <c r="H421" s="2"/>
      <c r="I421" s="2"/>
      <c r="J421" s="2"/>
      <c r="K421" s="2"/>
      <c r="L421" s="2"/>
      <c r="M421" s="2"/>
      <c r="N421" s="2"/>
      <c r="O421" s="2"/>
    </row>
    <row r="422" spans="2:15" ht="14">
      <c r="B422" s="17"/>
      <c r="C422" s="2"/>
      <c r="D422" s="2"/>
      <c r="E422" s="14"/>
      <c r="F422" s="2"/>
      <c r="G422" s="2"/>
      <c r="H422" s="2"/>
      <c r="I422" s="2"/>
      <c r="J422" s="2"/>
      <c r="K422" s="2"/>
      <c r="L422" s="2"/>
      <c r="M422" s="2"/>
      <c r="N422" s="2"/>
      <c r="O422" s="2"/>
    </row>
    <row r="423" spans="2:15" ht="14">
      <c r="B423" s="17"/>
      <c r="C423" s="2"/>
      <c r="D423" s="2"/>
      <c r="E423" s="14"/>
      <c r="F423" s="2"/>
      <c r="G423" s="2"/>
      <c r="H423" s="2"/>
      <c r="I423" s="2"/>
      <c r="J423" s="2"/>
      <c r="K423" s="2"/>
      <c r="L423" s="2"/>
      <c r="M423" s="2"/>
      <c r="N423" s="2"/>
      <c r="O423" s="2"/>
    </row>
    <row r="424" spans="2:15" ht="14">
      <c r="B424" s="17"/>
      <c r="C424" s="2"/>
      <c r="D424" s="2"/>
      <c r="E424" s="14"/>
      <c r="F424" s="2"/>
      <c r="G424" s="2"/>
      <c r="H424" s="2"/>
      <c r="I424" s="2"/>
      <c r="J424" s="2"/>
      <c r="K424" s="2"/>
      <c r="L424" s="2"/>
      <c r="M424" s="2"/>
      <c r="N424" s="2"/>
      <c r="O424" s="2"/>
    </row>
    <row r="425" spans="2:15" ht="14">
      <c r="B425" s="17"/>
      <c r="C425" s="2"/>
      <c r="D425" s="2"/>
      <c r="E425" s="14"/>
      <c r="F425" s="2"/>
      <c r="G425" s="2"/>
      <c r="H425" s="2"/>
      <c r="I425" s="2"/>
      <c r="J425" s="2"/>
      <c r="K425" s="2"/>
      <c r="L425" s="2"/>
      <c r="M425" s="2"/>
      <c r="N425" s="2"/>
      <c r="O425" s="2"/>
    </row>
    <row r="426" spans="2:15" ht="14">
      <c r="B426" s="17"/>
      <c r="C426" s="2"/>
      <c r="D426" s="2"/>
      <c r="E426" s="14"/>
      <c r="F426" s="2"/>
      <c r="G426" s="2"/>
      <c r="H426" s="2"/>
      <c r="I426" s="2"/>
      <c r="J426" s="2"/>
      <c r="K426" s="2"/>
      <c r="L426" s="2"/>
      <c r="M426" s="2"/>
      <c r="N426" s="2"/>
      <c r="O426" s="2"/>
    </row>
    <row r="427" spans="2:15" ht="14">
      <c r="B427" s="17"/>
      <c r="C427" s="2"/>
      <c r="D427" s="2"/>
      <c r="E427" s="14"/>
      <c r="F427" s="2"/>
      <c r="G427" s="2"/>
      <c r="H427" s="2"/>
      <c r="I427" s="2"/>
      <c r="J427" s="2"/>
      <c r="K427" s="2"/>
      <c r="L427" s="2"/>
      <c r="M427" s="2"/>
      <c r="N427" s="2"/>
      <c r="O427" s="2"/>
    </row>
    <row r="428" spans="2:15" ht="14">
      <c r="B428" s="17"/>
      <c r="C428" s="2"/>
      <c r="D428" s="2"/>
      <c r="E428" s="14"/>
      <c r="F428" s="2"/>
      <c r="G428" s="2"/>
      <c r="H428" s="2"/>
      <c r="I428" s="2"/>
      <c r="J428" s="2"/>
      <c r="K428" s="2"/>
      <c r="L428" s="2"/>
      <c r="M428" s="2"/>
      <c r="N428" s="2"/>
      <c r="O428" s="2"/>
    </row>
    <row r="429" spans="2:15" ht="14">
      <c r="B429" s="17"/>
      <c r="C429" s="2"/>
      <c r="D429" s="2"/>
      <c r="E429" s="14"/>
      <c r="F429" s="2"/>
      <c r="G429" s="2"/>
      <c r="H429" s="2"/>
      <c r="I429" s="2"/>
      <c r="J429" s="2"/>
      <c r="K429" s="2"/>
      <c r="L429" s="2"/>
      <c r="M429" s="2"/>
      <c r="N429" s="2"/>
      <c r="O429" s="2"/>
    </row>
    <row r="430" spans="2:15" ht="14">
      <c r="B430" s="17"/>
      <c r="C430" s="2"/>
      <c r="D430" s="2"/>
      <c r="E430" s="14"/>
      <c r="F430" s="2"/>
      <c r="G430" s="2"/>
      <c r="H430" s="2"/>
      <c r="I430" s="2"/>
      <c r="J430" s="2"/>
      <c r="K430" s="2"/>
      <c r="L430" s="2"/>
      <c r="M430" s="2"/>
      <c r="N430" s="2"/>
      <c r="O430" s="2"/>
    </row>
    <row r="431" spans="2:15" ht="14">
      <c r="B431" s="17"/>
      <c r="C431" s="2"/>
      <c r="D431" s="2"/>
      <c r="E431" s="14"/>
      <c r="F431" s="2"/>
      <c r="G431" s="2"/>
      <c r="H431" s="2"/>
      <c r="I431" s="2"/>
      <c r="J431" s="2"/>
      <c r="K431" s="2"/>
      <c r="L431" s="2"/>
      <c r="M431" s="2"/>
      <c r="N431" s="2"/>
      <c r="O431" s="2"/>
    </row>
    <row r="432" spans="2:15" ht="14">
      <c r="B432" s="17"/>
      <c r="C432" s="2"/>
      <c r="D432" s="2"/>
      <c r="E432" s="14"/>
      <c r="F432" s="2"/>
      <c r="G432" s="2"/>
      <c r="H432" s="2"/>
      <c r="I432" s="2"/>
      <c r="J432" s="2"/>
      <c r="K432" s="2"/>
      <c r="L432" s="2"/>
      <c r="M432" s="2"/>
      <c r="N432" s="2"/>
      <c r="O432" s="2"/>
    </row>
    <row r="433" spans="2:15" ht="14">
      <c r="B433" s="17"/>
      <c r="C433" s="2"/>
      <c r="D433" s="2"/>
      <c r="E433" s="14"/>
      <c r="F433" s="2"/>
      <c r="G433" s="2"/>
      <c r="H433" s="2"/>
      <c r="I433" s="2"/>
      <c r="J433" s="2"/>
      <c r="K433" s="2"/>
      <c r="L433" s="2"/>
      <c r="M433" s="2"/>
      <c r="N433" s="2"/>
      <c r="O433" s="2"/>
    </row>
    <row r="434" spans="2:15" ht="14">
      <c r="B434" s="17"/>
      <c r="C434" s="2"/>
      <c r="D434" s="2"/>
      <c r="E434" s="14"/>
      <c r="F434" s="2"/>
      <c r="G434" s="2"/>
      <c r="H434" s="2"/>
      <c r="I434" s="2"/>
      <c r="J434" s="2"/>
      <c r="K434" s="2"/>
      <c r="L434" s="2"/>
      <c r="M434" s="2"/>
      <c r="N434" s="2"/>
      <c r="O434" s="2"/>
    </row>
    <row r="435" spans="2:15" ht="14">
      <c r="B435" s="17"/>
      <c r="C435" s="2"/>
      <c r="D435" s="2"/>
      <c r="E435" s="14"/>
      <c r="F435" s="2"/>
      <c r="G435" s="2"/>
      <c r="H435" s="2"/>
      <c r="I435" s="2"/>
      <c r="J435" s="2"/>
      <c r="K435" s="2"/>
      <c r="L435" s="2"/>
      <c r="M435" s="2"/>
      <c r="N435" s="2"/>
      <c r="O435" s="2"/>
    </row>
    <row r="436" spans="2:15" ht="14">
      <c r="B436" s="17"/>
      <c r="C436" s="2"/>
      <c r="D436" s="2"/>
      <c r="E436" s="14"/>
      <c r="F436" s="2"/>
      <c r="G436" s="2"/>
      <c r="H436" s="2"/>
      <c r="I436" s="2"/>
      <c r="J436" s="2"/>
      <c r="K436" s="2"/>
      <c r="L436" s="2"/>
      <c r="M436" s="2"/>
      <c r="N436" s="2"/>
      <c r="O436" s="2"/>
    </row>
    <row r="437" spans="2:15" ht="14">
      <c r="B437" s="17"/>
      <c r="C437" s="2"/>
      <c r="D437" s="2"/>
      <c r="E437" s="14"/>
      <c r="F437" s="2"/>
      <c r="G437" s="2"/>
      <c r="H437" s="2"/>
      <c r="I437" s="2"/>
      <c r="J437" s="2"/>
      <c r="K437" s="2"/>
      <c r="L437" s="2"/>
      <c r="M437" s="2"/>
      <c r="N437" s="2"/>
      <c r="O437" s="2"/>
    </row>
    <row r="438" spans="2:15" ht="14">
      <c r="B438" s="17"/>
      <c r="C438" s="2"/>
      <c r="D438" s="2"/>
      <c r="E438" s="14"/>
      <c r="F438" s="2"/>
      <c r="G438" s="2"/>
      <c r="H438" s="2"/>
      <c r="I438" s="2"/>
      <c r="J438" s="2"/>
      <c r="K438" s="2"/>
      <c r="L438" s="2"/>
      <c r="M438" s="2"/>
      <c r="N438" s="2"/>
      <c r="O438" s="2"/>
    </row>
    <row r="439" spans="2:15" ht="14">
      <c r="B439" s="17"/>
      <c r="C439" s="2"/>
      <c r="D439" s="2"/>
      <c r="E439" s="14"/>
      <c r="F439" s="2"/>
      <c r="G439" s="2"/>
      <c r="H439" s="2"/>
      <c r="I439" s="2"/>
      <c r="J439" s="2"/>
      <c r="K439" s="2"/>
      <c r="L439" s="2"/>
      <c r="M439" s="2"/>
      <c r="N439" s="2"/>
      <c r="O439" s="2"/>
    </row>
    <row r="440" spans="2:15" ht="14">
      <c r="B440" s="17"/>
      <c r="C440" s="2"/>
      <c r="D440" s="2"/>
      <c r="E440" s="14"/>
      <c r="F440" s="2"/>
      <c r="G440" s="2"/>
      <c r="H440" s="2"/>
      <c r="I440" s="2"/>
      <c r="J440" s="2"/>
      <c r="K440" s="2"/>
      <c r="L440" s="2"/>
      <c r="M440" s="2"/>
      <c r="N440" s="2"/>
      <c r="O440" s="2"/>
    </row>
    <row r="441" spans="2:15" ht="14">
      <c r="B441" s="17"/>
      <c r="C441" s="2"/>
      <c r="D441" s="2"/>
      <c r="E441" s="14"/>
      <c r="F441" s="2"/>
      <c r="G441" s="2"/>
      <c r="H441" s="2"/>
      <c r="I441" s="2"/>
      <c r="J441" s="2"/>
      <c r="K441" s="2"/>
      <c r="L441" s="2"/>
      <c r="M441" s="2"/>
      <c r="N441" s="2"/>
      <c r="O441" s="2"/>
    </row>
    <row r="442" spans="2:15" ht="14">
      <c r="B442" s="17"/>
      <c r="C442" s="2"/>
      <c r="D442" s="2"/>
      <c r="E442" s="14"/>
      <c r="F442" s="2"/>
      <c r="G442" s="2"/>
      <c r="H442" s="2"/>
      <c r="I442" s="2"/>
      <c r="J442" s="2"/>
      <c r="K442" s="2"/>
      <c r="L442" s="2"/>
      <c r="M442" s="2"/>
      <c r="N442" s="2"/>
      <c r="O442" s="2"/>
    </row>
    <row r="443" spans="2:15" ht="14">
      <c r="B443" s="17"/>
      <c r="C443" s="2"/>
      <c r="D443" s="2"/>
      <c r="E443" s="14"/>
      <c r="F443" s="2"/>
      <c r="G443" s="2"/>
      <c r="H443" s="2"/>
      <c r="I443" s="2"/>
      <c r="J443" s="2"/>
      <c r="K443" s="2"/>
      <c r="L443" s="2"/>
      <c r="M443" s="2"/>
      <c r="N443" s="2"/>
      <c r="O443" s="2"/>
    </row>
    <row r="444" spans="2:15" ht="14">
      <c r="B444" s="17"/>
      <c r="C444" s="2"/>
      <c r="D444" s="2"/>
      <c r="E444" s="14"/>
      <c r="F444" s="2"/>
      <c r="G444" s="2"/>
      <c r="H444" s="2"/>
      <c r="I444" s="2"/>
      <c r="J444" s="2"/>
      <c r="K444" s="2"/>
      <c r="L444" s="2"/>
      <c r="M444" s="2"/>
      <c r="N444" s="2"/>
      <c r="O444" s="2"/>
    </row>
    <row r="445" spans="2:15" ht="14">
      <c r="B445" s="17"/>
      <c r="C445" s="2"/>
      <c r="D445" s="2"/>
      <c r="E445" s="14"/>
      <c r="F445" s="2"/>
      <c r="G445" s="2"/>
      <c r="H445" s="2"/>
      <c r="I445" s="2"/>
      <c r="J445" s="2"/>
      <c r="K445" s="2"/>
      <c r="L445" s="2"/>
      <c r="M445" s="2"/>
      <c r="N445" s="2"/>
      <c r="O445" s="2"/>
    </row>
    <row r="446" spans="2:15" ht="14">
      <c r="B446" s="17"/>
      <c r="C446" s="2"/>
      <c r="D446" s="2"/>
      <c r="E446" s="14"/>
      <c r="F446" s="2"/>
      <c r="G446" s="2"/>
      <c r="H446" s="2"/>
      <c r="I446" s="2"/>
      <c r="J446" s="2"/>
      <c r="K446" s="2"/>
      <c r="L446" s="2"/>
      <c r="M446" s="2"/>
      <c r="N446" s="2"/>
      <c r="O446" s="2"/>
    </row>
    <row r="447" spans="2:15" ht="14">
      <c r="B447" s="17"/>
      <c r="C447" s="2"/>
      <c r="D447" s="2"/>
      <c r="E447" s="14"/>
      <c r="F447" s="2"/>
      <c r="G447" s="2"/>
      <c r="H447" s="2"/>
      <c r="I447" s="2"/>
      <c r="J447" s="2"/>
      <c r="K447" s="2"/>
      <c r="L447" s="2"/>
      <c r="M447" s="2"/>
      <c r="N447" s="2"/>
      <c r="O447" s="2"/>
    </row>
    <row r="448" spans="2:15" ht="14">
      <c r="B448" s="17"/>
      <c r="C448" s="2"/>
      <c r="D448" s="2"/>
      <c r="E448" s="14"/>
      <c r="F448" s="2"/>
      <c r="G448" s="2"/>
      <c r="H448" s="2"/>
      <c r="I448" s="2"/>
      <c r="J448" s="2"/>
      <c r="K448" s="2"/>
      <c r="L448" s="2"/>
      <c r="M448" s="2"/>
      <c r="N448" s="2"/>
      <c r="O448" s="2"/>
    </row>
    <row r="449" spans="2:15" ht="14">
      <c r="B449" s="17"/>
      <c r="C449" s="2"/>
      <c r="D449" s="2"/>
      <c r="E449" s="14"/>
      <c r="F449" s="2"/>
      <c r="G449" s="2"/>
      <c r="H449" s="2"/>
      <c r="I449" s="2"/>
      <c r="J449" s="2"/>
      <c r="K449" s="2"/>
      <c r="L449" s="2"/>
      <c r="M449" s="2"/>
      <c r="N449" s="2"/>
      <c r="O449" s="2"/>
    </row>
    <row r="450" spans="2:15" ht="14">
      <c r="B450" s="17"/>
      <c r="C450" s="2"/>
      <c r="D450" s="2"/>
      <c r="E450" s="14"/>
      <c r="F450" s="2"/>
      <c r="G450" s="2"/>
      <c r="H450" s="2"/>
      <c r="I450" s="2"/>
      <c r="J450" s="2"/>
      <c r="K450" s="2"/>
      <c r="L450" s="2"/>
      <c r="M450" s="2"/>
      <c r="N450" s="2"/>
      <c r="O450" s="2"/>
    </row>
    <row r="451" spans="2:15" ht="14">
      <c r="B451" s="17"/>
      <c r="C451" s="2"/>
      <c r="D451" s="2"/>
      <c r="E451" s="14"/>
      <c r="F451" s="2"/>
      <c r="G451" s="2"/>
      <c r="H451" s="2"/>
      <c r="I451" s="2"/>
      <c r="J451" s="2"/>
      <c r="K451" s="2"/>
      <c r="L451" s="2"/>
      <c r="M451" s="2"/>
      <c r="N451" s="2"/>
      <c r="O451" s="2"/>
    </row>
    <row r="452" spans="2:15" ht="14">
      <c r="B452" s="17"/>
      <c r="C452" s="2"/>
      <c r="D452" s="2"/>
      <c r="E452" s="14"/>
      <c r="F452" s="2"/>
      <c r="G452" s="2"/>
      <c r="H452" s="2"/>
      <c r="I452" s="2"/>
      <c r="J452" s="2"/>
      <c r="K452" s="2"/>
      <c r="L452" s="2"/>
      <c r="M452" s="2"/>
      <c r="N452" s="2"/>
      <c r="O452" s="2"/>
    </row>
    <row r="453" spans="2:15" ht="14">
      <c r="B453" s="17"/>
      <c r="C453" s="2"/>
      <c r="D453" s="2"/>
      <c r="E453" s="14"/>
      <c r="F453" s="2"/>
      <c r="G453" s="2"/>
      <c r="H453" s="2"/>
      <c r="I453" s="2"/>
      <c r="J453" s="2"/>
      <c r="K453" s="2"/>
      <c r="L453" s="2"/>
      <c r="M453" s="2"/>
      <c r="N453" s="2"/>
      <c r="O453" s="2"/>
    </row>
    <row r="454" spans="2:15" ht="14">
      <c r="B454" s="17"/>
      <c r="C454" s="2"/>
      <c r="D454" s="2"/>
      <c r="E454" s="14"/>
      <c r="F454" s="2"/>
      <c r="G454" s="2"/>
      <c r="H454" s="2"/>
      <c r="I454" s="2"/>
      <c r="J454" s="2"/>
      <c r="K454" s="2"/>
      <c r="L454" s="2"/>
      <c r="M454" s="2"/>
      <c r="N454" s="2"/>
      <c r="O454" s="2"/>
    </row>
    <row r="455" spans="2:15" ht="14">
      <c r="B455" s="17"/>
      <c r="C455" s="2"/>
      <c r="D455" s="2"/>
      <c r="E455" s="14"/>
      <c r="F455" s="2"/>
      <c r="G455" s="2"/>
      <c r="H455" s="2"/>
      <c r="I455" s="2"/>
      <c r="J455" s="2"/>
      <c r="K455" s="2"/>
      <c r="L455" s="2"/>
      <c r="M455" s="2"/>
      <c r="N455" s="2"/>
      <c r="O455" s="2"/>
    </row>
    <row r="456" spans="2:15" ht="14">
      <c r="B456" s="17"/>
      <c r="C456" s="2"/>
      <c r="D456" s="2"/>
      <c r="E456" s="14"/>
      <c r="F456" s="2"/>
      <c r="G456" s="2"/>
      <c r="H456" s="2"/>
      <c r="I456" s="2"/>
      <c r="J456" s="2"/>
      <c r="K456" s="2"/>
      <c r="L456" s="2"/>
      <c r="M456" s="2"/>
      <c r="N456" s="2"/>
      <c r="O456" s="2"/>
    </row>
    <row r="457" spans="2:15" ht="14">
      <c r="B457" s="17"/>
      <c r="C457" s="2"/>
      <c r="D457" s="2"/>
      <c r="E457" s="14"/>
      <c r="F457" s="2"/>
      <c r="G457" s="2"/>
      <c r="H457" s="2"/>
      <c r="I457" s="2"/>
      <c r="J457" s="2"/>
      <c r="K457" s="2"/>
      <c r="L457" s="2"/>
      <c r="M457" s="2"/>
      <c r="N457" s="2"/>
      <c r="O457" s="2"/>
    </row>
    <row r="458" spans="2:15" ht="14">
      <c r="B458" s="17"/>
      <c r="C458" s="2"/>
      <c r="D458" s="2"/>
      <c r="E458" s="14"/>
      <c r="F458" s="2"/>
      <c r="G458" s="2"/>
      <c r="H458" s="2"/>
      <c r="I458" s="2"/>
      <c r="J458" s="2"/>
      <c r="K458" s="2"/>
      <c r="L458" s="2"/>
      <c r="M458" s="2"/>
      <c r="N458" s="2"/>
      <c r="O458" s="2"/>
    </row>
    <row r="459" spans="2:15" ht="14">
      <c r="B459" s="17"/>
      <c r="C459" s="2"/>
      <c r="D459" s="2"/>
      <c r="E459" s="14"/>
      <c r="F459" s="2"/>
      <c r="G459" s="2"/>
      <c r="H459" s="2"/>
      <c r="I459" s="2"/>
      <c r="J459" s="2"/>
      <c r="K459" s="2"/>
      <c r="L459" s="2"/>
      <c r="M459" s="2"/>
      <c r="N459" s="2"/>
      <c r="O459" s="2"/>
    </row>
    <row r="460" spans="2:15" ht="14">
      <c r="B460" s="17"/>
      <c r="C460" s="2"/>
      <c r="D460" s="2"/>
      <c r="E460" s="14"/>
      <c r="F460" s="2"/>
      <c r="G460" s="2"/>
      <c r="H460" s="2"/>
      <c r="I460" s="2"/>
      <c r="J460" s="2"/>
      <c r="K460" s="2"/>
      <c r="L460" s="2"/>
      <c r="M460" s="2"/>
      <c r="N460" s="2"/>
      <c r="O460" s="2"/>
    </row>
    <row r="461" spans="2:15" ht="14">
      <c r="B461" s="17"/>
      <c r="C461" s="2"/>
      <c r="D461" s="2"/>
      <c r="E461" s="14"/>
      <c r="F461" s="2"/>
      <c r="G461" s="2"/>
      <c r="H461" s="2"/>
      <c r="I461" s="2"/>
      <c r="J461" s="2"/>
      <c r="K461" s="2"/>
      <c r="L461" s="2"/>
      <c r="M461" s="2"/>
      <c r="N461" s="2"/>
      <c r="O461" s="2"/>
    </row>
    <row r="462" spans="2:15" ht="14">
      <c r="B462" s="17"/>
      <c r="C462" s="2"/>
      <c r="D462" s="2"/>
      <c r="E462" s="14"/>
      <c r="F462" s="2"/>
      <c r="G462" s="2"/>
      <c r="H462" s="2"/>
      <c r="I462" s="2"/>
      <c r="J462" s="2"/>
      <c r="K462" s="2"/>
      <c r="L462" s="2"/>
      <c r="M462" s="2"/>
      <c r="N462" s="2"/>
      <c r="O462" s="2"/>
    </row>
    <row r="463" spans="2:15" ht="14">
      <c r="B463" s="17"/>
      <c r="C463" s="2"/>
      <c r="D463" s="2"/>
      <c r="E463" s="14"/>
      <c r="F463" s="2"/>
      <c r="G463" s="2"/>
      <c r="H463" s="2"/>
      <c r="I463" s="2"/>
      <c r="J463" s="2"/>
      <c r="K463" s="2"/>
      <c r="L463" s="2"/>
      <c r="M463" s="2"/>
      <c r="N463" s="2"/>
      <c r="O463" s="2"/>
    </row>
    <row r="464" spans="2:15" ht="14">
      <c r="B464" s="17"/>
      <c r="C464" s="2"/>
      <c r="D464" s="2"/>
      <c r="E464" s="14"/>
      <c r="F464" s="2"/>
      <c r="G464" s="2"/>
      <c r="H464" s="2"/>
      <c r="I464" s="2"/>
      <c r="J464" s="2"/>
      <c r="K464" s="2"/>
      <c r="L464" s="2"/>
      <c r="M464" s="2"/>
      <c r="N464" s="2"/>
      <c r="O464" s="2"/>
    </row>
    <row r="465" spans="2:15" ht="14">
      <c r="B465" s="17"/>
      <c r="C465" s="2"/>
      <c r="D465" s="2"/>
      <c r="E465" s="14"/>
      <c r="F465" s="2"/>
      <c r="G465" s="2"/>
      <c r="H465" s="2"/>
      <c r="I465" s="2"/>
      <c r="J465" s="2"/>
      <c r="K465" s="2"/>
      <c r="L465" s="2"/>
      <c r="M465" s="2"/>
      <c r="N465" s="2"/>
      <c r="O465" s="2"/>
    </row>
    <row r="466" spans="2:15" ht="14">
      <c r="B466" s="17"/>
      <c r="C466" s="2"/>
      <c r="D466" s="2"/>
      <c r="E466" s="14"/>
      <c r="F466" s="2"/>
      <c r="G466" s="2"/>
      <c r="H466" s="2"/>
      <c r="I466" s="2"/>
      <c r="J466" s="2"/>
      <c r="K466" s="2"/>
      <c r="L466" s="2"/>
      <c r="M466" s="2"/>
      <c r="N466" s="2"/>
      <c r="O466" s="2"/>
    </row>
    <row r="467" spans="2:15" ht="14">
      <c r="B467" s="17"/>
      <c r="C467" s="2"/>
      <c r="D467" s="2"/>
      <c r="E467" s="14"/>
      <c r="F467" s="2"/>
      <c r="G467" s="2"/>
      <c r="H467" s="2"/>
      <c r="I467" s="2"/>
      <c r="J467" s="2"/>
      <c r="K467" s="2"/>
      <c r="L467" s="2"/>
      <c r="M467" s="2"/>
      <c r="N467" s="2"/>
      <c r="O467" s="2"/>
    </row>
    <row r="468" spans="2:15" ht="14">
      <c r="B468" s="17"/>
      <c r="C468" s="2"/>
      <c r="D468" s="2"/>
      <c r="E468" s="14"/>
      <c r="F468" s="2"/>
      <c r="G468" s="2"/>
      <c r="H468" s="2"/>
      <c r="I468" s="2"/>
      <c r="J468" s="2"/>
      <c r="K468" s="2"/>
      <c r="L468" s="2"/>
      <c r="M468" s="2"/>
      <c r="N468" s="2"/>
      <c r="O468" s="2"/>
    </row>
    <row r="469" spans="2:15" ht="14">
      <c r="B469" s="17"/>
      <c r="C469" s="2"/>
      <c r="D469" s="2"/>
      <c r="E469" s="14"/>
      <c r="F469" s="2"/>
      <c r="G469" s="2"/>
      <c r="H469" s="2"/>
      <c r="I469" s="2"/>
      <c r="J469" s="2"/>
      <c r="K469" s="2"/>
      <c r="L469" s="2"/>
      <c r="M469" s="2"/>
      <c r="N469" s="2"/>
      <c r="O469" s="2"/>
    </row>
    <row r="470" spans="2:15" ht="14">
      <c r="B470" s="17"/>
      <c r="C470" s="2"/>
      <c r="D470" s="2"/>
      <c r="E470" s="14"/>
      <c r="F470" s="2"/>
      <c r="G470" s="2"/>
      <c r="H470" s="2"/>
      <c r="I470" s="2"/>
      <c r="J470" s="2"/>
      <c r="K470" s="2"/>
      <c r="L470" s="2"/>
      <c r="M470" s="2"/>
      <c r="N470" s="2"/>
      <c r="O470" s="2"/>
    </row>
    <row r="471" spans="2:15" ht="14">
      <c r="B471" s="17"/>
      <c r="C471" s="2"/>
      <c r="D471" s="2"/>
      <c r="E471" s="14"/>
      <c r="F471" s="2"/>
      <c r="G471" s="2"/>
      <c r="H471" s="2"/>
      <c r="I471" s="2"/>
      <c r="J471" s="2"/>
      <c r="K471" s="2"/>
      <c r="L471" s="2"/>
      <c r="M471" s="2"/>
      <c r="N471" s="2"/>
      <c r="O471" s="2"/>
    </row>
    <row r="472" spans="2:15" ht="14">
      <c r="B472" s="17"/>
      <c r="C472" s="2"/>
      <c r="D472" s="2"/>
      <c r="E472" s="14"/>
      <c r="F472" s="2"/>
      <c r="G472" s="2"/>
      <c r="H472" s="2"/>
      <c r="I472" s="2"/>
      <c r="J472" s="2"/>
      <c r="K472" s="2"/>
      <c r="L472" s="2"/>
      <c r="M472" s="2"/>
      <c r="N472" s="2"/>
      <c r="O472" s="2"/>
    </row>
    <row r="473" spans="2:15" ht="14">
      <c r="B473" s="17"/>
      <c r="C473" s="2"/>
      <c r="D473" s="2"/>
      <c r="E473" s="14"/>
      <c r="F473" s="2"/>
      <c r="G473" s="2"/>
      <c r="H473" s="2"/>
      <c r="I473" s="2"/>
      <c r="J473" s="2"/>
      <c r="K473" s="2"/>
      <c r="L473" s="2"/>
      <c r="M473" s="2"/>
      <c r="N473" s="2"/>
      <c r="O473" s="2"/>
    </row>
    <row r="474" spans="2:15" ht="14">
      <c r="B474" s="17"/>
      <c r="C474" s="2"/>
      <c r="D474" s="2"/>
      <c r="E474" s="14"/>
      <c r="F474" s="2"/>
      <c r="G474" s="2"/>
      <c r="H474" s="2"/>
      <c r="I474" s="2"/>
      <c r="J474" s="2"/>
      <c r="K474" s="2"/>
      <c r="L474" s="2"/>
      <c r="M474" s="2"/>
      <c r="N474" s="2"/>
      <c r="O474" s="2"/>
    </row>
    <row r="475" spans="2:15" ht="14">
      <c r="B475" s="17"/>
      <c r="C475" s="2"/>
      <c r="D475" s="2"/>
      <c r="E475" s="14"/>
      <c r="F475" s="2"/>
      <c r="G475" s="2"/>
      <c r="H475" s="2"/>
      <c r="I475" s="2"/>
      <c r="J475" s="2"/>
      <c r="K475" s="2"/>
      <c r="L475" s="2"/>
      <c r="M475" s="2"/>
      <c r="N475" s="2"/>
      <c r="O475" s="2"/>
    </row>
    <row r="476" spans="2:15" ht="14">
      <c r="B476" s="17"/>
      <c r="C476" s="2"/>
      <c r="D476" s="2"/>
      <c r="E476" s="14"/>
      <c r="F476" s="2"/>
      <c r="G476" s="2"/>
      <c r="H476" s="2"/>
      <c r="I476" s="2"/>
      <c r="J476" s="2"/>
      <c r="K476" s="2"/>
      <c r="L476" s="2"/>
      <c r="M476" s="2"/>
      <c r="N476" s="2"/>
      <c r="O476" s="2"/>
    </row>
    <row r="477" spans="2:15" ht="14">
      <c r="B477" s="17"/>
      <c r="C477" s="2"/>
      <c r="D477" s="2"/>
      <c r="E477" s="14"/>
      <c r="F477" s="2"/>
      <c r="G477" s="2"/>
      <c r="H477" s="2"/>
      <c r="I477" s="2"/>
      <c r="J477" s="2"/>
      <c r="K477" s="2"/>
      <c r="L477" s="2"/>
      <c r="M477" s="2"/>
      <c r="N477" s="2"/>
      <c r="O477" s="2"/>
    </row>
    <row r="478" spans="2:15" ht="14">
      <c r="B478" s="17"/>
      <c r="C478" s="2"/>
      <c r="D478" s="2"/>
      <c r="E478" s="14"/>
      <c r="F478" s="2"/>
      <c r="G478" s="2"/>
      <c r="H478" s="2"/>
      <c r="I478" s="2"/>
      <c r="J478" s="2"/>
      <c r="K478" s="2"/>
      <c r="L478" s="2"/>
      <c r="M478" s="2"/>
      <c r="N478" s="2"/>
      <c r="O478" s="2"/>
    </row>
    <row r="479" spans="2:15" ht="14">
      <c r="B479" s="17"/>
      <c r="C479" s="2"/>
      <c r="D479" s="2"/>
      <c r="E479" s="14"/>
      <c r="F479" s="2"/>
      <c r="G479" s="2"/>
      <c r="H479" s="2"/>
      <c r="I479" s="2"/>
      <c r="J479" s="2"/>
      <c r="K479" s="2"/>
      <c r="L479" s="2"/>
      <c r="M479" s="2"/>
      <c r="N479" s="2"/>
      <c r="O479" s="2"/>
    </row>
    <row r="480" spans="2:15" ht="14">
      <c r="B480" s="17"/>
      <c r="C480" s="2"/>
      <c r="D480" s="2"/>
      <c r="E480" s="14"/>
      <c r="F480" s="2"/>
      <c r="G480" s="2"/>
      <c r="H480" s="2"/>
      <c r="I480" s="2"/>
      <c r="J480" s="2"/>
      <c r="K480" s="2"/>
      <c r="L480" s="2"/>
      <c r="M480" s="2"/>
      <c r="N480" s="2"/>
      <c r="O480" s="2"/>
    </row>
    <row r="481" spans="2:15" ht="14">
      <c r="B481" s="17"/>
      <c r="C481" s="2"/>
      <c r="D481" s="2"/>
      <c r="E481" s="14"/>
      <c r="F481" s="2"/>
      <c r="G481" s="2"/>
      <c r="H481" s="2"/>
      <c r="I481" s="2"/>
      <c r="J481" s="2"/>
      <c r="K481" s="2"/>
      <c r="L481" s="2"/>
      <c r="M481" s="2"/>
      <c r="N481" s="2"/>
      <c r="O481" s="2"/>
    </row>
    <row r="482" spans="2:15" ht="14">
      <c r="B482" s="17"/>
      <c r="C482" s="2"/>
      <c r="D482" s="2"/>
      <c r="E482" s="14"/>
      <c r="F482" s="2"/>
      <c r="G482" s="2"/>
      <c r="H482" s="2"/>
      <c r="I482" s="2"/>
      <c r="J482" s="2"/>
      <c r="K482" s="2"/>
      <c r="L482" s="2"/>
      <c r="M482" s="2"/>
      <c r="N482" s="2"/>
      <c r="O482" s="2"/>
    </row>
    <row r="483" spans="2:15" ht="14">
      <c r="B483" s="17"/>
      <c r="C483" s="2"/>
      <c r="D483" s="2"/>
      <c r="E483" s="14"/>
      <c r="F483" s="2"/>
      <c r="G483" s="2"/>
      <c r="H483" s="2"/>
      <c r="I483" s="2"/>
      <c r="J483" s="2"/>
      <c r="K483" s="2"/>
      <c r="L483" s="2"/>
      <c r="M483" s="2"/>
      <c r="N483" s="2"/>
      <c r="O483" s="2"/>
    </row>
    <row r="484" spans="2:15" ht="14">
      <c r="B484" s="17"/>
      <c r="C484" s="2"/>
      <c r="D484" s="2"/>
      <c r="E484" s="14"/>
      <c r="F484" s="2"/>
      <c r="G484" s="2"/>
      <c r="H484" s="2"/>
      <c r="I484" s="2"/>
      <c r="J484" s="2"/>
      <c r="K484" s="2"/>
      <c r="L484" s="2"/>
      <c r="M484" s="2"/>
      <c r="N484" s="2"/>
      <c r="O484" s="2"/>
    </row>
    <row r="485" spans="2:15" ht="14">
      <c r="B485" s="17"/>
      <c r="C485" s="2"/>
      <c r="D485" s="2"/>
      <c r="E485" s="14"/>
      <c r="F485" s="2"/>
      <c r="G485" s="2"/>
      <c r="H485" s="2"/>
      <c r="I485" s="2"/>
      <c r="J485" s="2"/>
      <c r="K485" s="2"/>
      <c r="L485" s="2"/>
      <c r="M485" s="2"/>
      <c r="N485" s="2"/>
      <c r="O485" s="2"/>
    </row>
    <row r="486" spans="2:15" ht="14">
      <c r="B486" s="17"/>
      <c r="C486" s="2"/>
      <c r="D486" s="2"/>
      <c r="E486" s="14"/>
      <c r="F486" s="2"/>
      <c r="G486" s="2"/>
      <c r="H486" s="2"/>
      <c r="I486" s="2"/>
      <c r="J486" s="2"/>
      <c r="K486" s="2"/>
      <c r="L486" s="2"/>
      <c r="M486" s="2"/>
      <c r="N486" s="2"/>
      <c r="O486" s="2"/>
    </row>
    <row r="487" spans="2:15" ht="14">
      <c r="B487" s="17"/>
      <c r="C487" s="2"/>
      <c r="D487" s="2"/>
      <c r="E487" s="14"/>
      <c r="F487" s="2"/>
      <c r="G487" s="2"/>
      <c r="H487" s="2"/>
      <c r="I487" s="2"/>
      <c r="J487" s="2"/>
      <c r="K487" s="2"/>
      <c r="L487" s="2"/>
      <c r="M487" s="2"/>
      <c r="N487" s="2"/>
      <c r="O487" s="2"/>
    </row>
    <row r="488" spans="2:15" ht="14">
      <c r="B488" s="17"/>
      <c r="C488" s="2"/>
      <c r="D488" s="2"/>
      <c r="E488" s="14"/>
      <c r="F488" s="2"/>
      <c r="G488" s="2"/>
      <c r="H488" s="2"/>
      <c r="I488" s="2"/>
      <c r="J488" s="2"/>
      <c r="K488" s="2"/>
      <c r="L488" s="2"/>
      <c r="M488" s="2"/>
      <c r="N488" s="2"/>
      <c r="O488" s="2"/>
    </row>
    <row r="489" spans="2:15" ht="14">
      <c r="B489" s="17"/>
      <c r="C489" s="2"/>
      <c r="D489" s="2"/>
      <c r="E489" s="14"/>
      <c r="F489" s="2"/>
      <c r="G489" s="2"/>
      <c r="H489" s="2"/>
      <c r="I489" s="2"/>
      <c r="J489" s="2"/>
      <c r="K489" s="2"/>
      <c r="L489" s="2"/>
      <c r="M489" s="2"/>
      <c r="N489" s="2"/>
      <c r="O489" s="2"/>
    </row>
    <row r="490" spans="2:15" ht="14">
      <c r="B490" s="17"/>
      <c r="C490" s="2"/>
      <c r="D490" s="2"/>
      <c r="E490" s="14"/>
      <c r="F490" s="2"/>
      <c r="G490" s="2"/>
      <c r="H490" s="2"/>
      <c r="I490" s="2"/>
      <c r="J490" s="2"/>
      <c r="K490" s="2"/>
      <c r="L490" s="2"/>
      <c r="M490" s="2"/>
      <c r="N490" s="2"/>
      <c r="O490" s="2"/>
    </row>
    <row r="491" spans="2:15" ht="14">
      <c r="B491" s="17"/>
      <c r="C491" s="2"/>
      <c r="D491" s="2"/>
      <c r="E491" s="14"/>
      <c r="F491" s="2"/>
      <c r="G491" s="2"/>
      <c r="H491" s="2"/>
      <c r="I491" s="2"/>
      <c r="J491" s="2"/>
      <c r="K491" s="2"/>
      <c r="L491" s="2"/>
      <c r="M491" s="2"/>
      <c r="N491" s="2"/>
      <c r="O491" s="2"/>
    </row>
    <row r="492" spans="2:15" ht="14">
      <c r="B492" s="17"/>
      <c r="C492" s="2"/>
      <c r="D492" s="2"/>
      <c r="E492" s="14"/>
      <c r="F492" s="2"/>
      <c r="G492" s="2"/>
      <c r="H492" s="2"/>
      <c r="I492" s="2"/>
      <c r="J492" s="2"/>
      <c r="K492" s="2"/>
      <c r="L492" s="2"/>
      <c r="M492" s="2"/>
      <c r="N492" s="2"/>
      <c r="O492" s="2"/>
    </row>
    <row r="493" spans="2:15" ht="14">
      <c r="B493" s="17"/>
      <c r="C493" s="2"/>
      <c r="D493" s="2"/>
      <c r="E493" s="14"/>
      <c r="F493" s="2"/>
      <c r="G493" s="2"/>
      <c r="H493" s="2"/>
      <c r="I493" s="2"/>
      <c r="J493" s="2"/>
      <c r="K493" s="2"/>
      <c r="L493" s="2"/>
      <c r="M493" s="2"/>
      <c r="N493" s="2"/>
      <c r="O493" s="2"/>
    </row>
    <row r="494" spans="2:15" ht="14">
      <c r="B494" s="17"/>
      <c r="C494" s="2"/>
      <c r="D494" s="2"/>
      <c r="E494" s="14"/>
      <c r="F494" s="2"/>
      <c r="G494" s="2"/>
      <c r="H494" s="2"/>
      <c r="I494" s="2"/>
      <c r="J494" s="2"/>
      <c r="K494" s="2"/>
      <c r="L494" s="2"/>
      <c r="M494" s="2"/>
      <c r="N494" s="2"/>
      <c r="O494" s="2"/>
    </row>
    <row r="495" spans="2:15" ht="14">
      <c r="B495" s="17"/>
      <c r="C495" s="2"/>
      <c r="D495" s="2"/>
      <c r="E495" s="14"/>
      <c r="F495" s="2"/>
      <c r="G495" s="2"/>
      <c r="H495" s="2"/>
      <c r="I495" s="2"/>
      <c r="J495" s="2"/>
      <c r="K495" s="2"/>
      <c r="L495" s="2"/>
      <c r="M495" s="2"/>
      <c r="N495" s="2"/>
      <c r="O495" s="2"/>
    </row>
    <row r="496" spans="2:15" ht="14">
      <c r="B496" s="17"/>
      <c r="C496" s="2"/>
      <c r="D496" s="2"/>
      <c r="E496" s="14"/>
      <c r="F496" s="2"/>
      <c r="G496" s="2"/>
      <c r="H496" s="2"/>
      <c r="I496" s="2"/>
      <c r="J496" s="2"/>
      <c r="K496" s="2"/>
      <c r="L496" s="2"/>
      <c r="M496" s="2"/>
      <c r="N496" s="2"/>
      <c r="O496" s="2"/>
    </row>
    <row r="497" spans="2:15" ht="14">
      <c r="B497" s="17"/>
      <c r="C497" s="2"/>
      <c r="D497" s="2"/>
      <c r="E497" s="14"/>
      <c r="F497" s="2"/>
      <c r="G497" s="2"/>
      <c r="H497" s="2"/>
      <c r="I497" s="2"/>
      <c r="J497" s="2"/>
      <c r="K497" s="2"/>
      <c r="L497" s="2"/>
      <c r="M497" s="2"/>
      <c r="N497" s="2"/>
      <c r="O497" s="2"/>
    </row>
    <row r="498" spans="2:15" ht="14">
      <c r="B498" s="17"/>
      <c r="C498" s="2"/>
      <c r="D498" s="2"/>
      <c r="E498" s="14"/>
      <c r="F498" s="2"/>
      <c r="G498" s="2"/>
      <c r="H498" s="2"/>
      <c r="I498" s="2"/>
      <c r="J498" s="2"/>
      <c r="K498" s="2"/>
      <c r="L498" s="2"/>
      <c r="M498" s="2"/>
      <c r="N498" s="2"/>
      <c r="O498" s="2"/>
    </row>
    <row r="499" spans="2:15" ht="14">
      <c r="B499" s="17"/>
      <c r="C499" s="2"/>
      <c r="D499" s="2"/>
      <c r="E499" s="14"/>
      <c r="F499" s="2"/>
      <c r="G499" s="2"/>
      <c r="H499" s="2"/>
      <c r="I499" s="2"/>
      <c r="J499" s="2"/>
      <c r="K499" s="2"/>
      <c r="L499" s="2"/>
      <c r="M499" s="2"/>
      <c r="N499" s="2"/>
      <c r="O499" s="2"/>
    </row>
    <row r="500" spans="2:15" ht="14">
      <c r="B500" s="17"/>
      <c r="C500" s="2"/>
      <c r="D500" s="2"/>
      <c r="E500" s="14"/>
      <c r="F500" s="2"/>
      <c r="G500" s="2"/>
      <c r="H500" s="2"/>
      <c r="I500" s="2"/>
      <c r="J500" s="2"/>
      <c r="K500" s="2"/>
      <c r="L500" s="2"/>
      <c r="M500" s="2"/>
      <c r="N500" s="2"/>
      <c r="O500" s="2"/>
    </row>
    <row r="501" spans="2:15" ht="14">
      <c r="B501" s="17"/>
      <c r="C501" s="2"/>
      <c r="D501" s="2"/>
      <c r="E501" s="14"/>
      <c r="F501" s="2"/>
      <c r="G501" s="2"/>
      <c r="H501" s="2"/>
      <c r="I501" s="2"/>
      <c r="J501" s="2"/>
      <c r="K501" s="2"/>
      <c r="L501" s="2"/>
      <c r="M501" s="2"/>
      <c r="N501" s="2"/>
      <c r="O501" s="2"/>
    </row>
    <row r="502" spans="2:15" ht="14">
      <c r="B502" s="17"/>
      <c r="C502" s="2"/>
      <c r="D502" s="2"/>
      <c r="E502" s="14"/>
      <c r="F502" s="2"/>
      <c r="G502" s="2"/>
      <c r="H502" s="2"/>
      <c r="I502" s="2"/>
      <c r="J502" s="2"/>
      <c r="K502" s="2"/>
      <c r="L502" s="2"/>
      <c r="M502" s="2"/>
      <c r="N502" s="2"/>
      <c r="O502" s="2"/>
    </row>
    <row r="503" spans="2:15" ht="14">
      <c r="B503" s="17"/>
      <c r="C503" s="2"/>
      <c r="D503" s="2"/>
      <c r="E503" s="14"/>
      <c r="F503" s="2"/>
      <c r="G503" s="2"/>
      <c r="H503" s="2"/>
      <c r="I503" s="2"/>
      <c r="J503" s="2"/>
      <c r="K503" s="2"/>
      <c r="L503" s="2"/>
      <c r="M503" s="2"/>
      <c r="N503" s="2"/>
      <c r="O503" s="2"/>
    </row>
    <row r="504" spans="2:15" ht="14">
      <c r="B504" s="17"/>
      <c r="C504" s="2"/>
      <c r="D504" s="2"/>
      <c r="E504" s="14"/>
      <c r="F504" s="2"/>
      <c r="G504" s="2"/>
      <c r="H504" s="2"/>
      <c r="I504" s="2"/>
      <c r="J504" s="2"/>
      <c r="K504" s="2"/>
      <c r="L504" s="2"/>
      <c r="M504" s="2"/>
      <c r="N504" s="2"/>
      <c r="O504" s="2"/>
    </row>
    <row r="505" spans="2:15" ht="14">
      <c r="B505" s="17"/>
      <c r="C505" s="2"/>
      <c r="D505" s="2"/>
      <c r="E505" s="14"/>
      <c r="F505" s="2"/>
      <c r="G505" s="2"/>
      <c r="H505" s="2"/>
      <c r="I505" s="2"/>
      <c r="J505" s="2"/>
      <c r="K505" s="2"/>
      <c r="L505" s="2"/>
      <c r="M505" s="2"/>
      <c r="N505" s="2"/>
      <c r="O505" s="2"/>
    </row>
    <row r="506" spans="2:15" ht="14">
      <c r="B506" s="17"/>
      <c r="C506" s="2"/>
      <c r="D506" s="2"/>
      <c r="E506" s="14"/>
      <c r="F506" s="2"/>
      <c r="G506" s="2"/>
      <c r="H506" s="2"/>
      <c r="I506" s="2"/>
      <c r="J506" s="2"/>
      <c r="K506" s="2"/>
      <c r="L506" s="2"/>
      <c r="M506" s="2"/>
      <c r="N506" s="2"/>
      <c r="O506" s="2"/>
    </row>
    <row r="507" spans="2:15" ht="14">
      <c r="B507" s="17"/>
      <c r="C507" s="2"/>
      <c r="D507" s="2"/>
      <c r="E507" s="14"/>
      <c r="F507" s="2"/>
      <c r="G507" s="2"/>
      <c r="H507" s="2"/>
      <c r="I507" s="2"/>
      <c r="J507" s="2"/>
      <c r="K507" s="2"/>
      <c r="L507" s="2"/>
      <c r="M507" s="2"/>
      <c r="N507" s="2"/>
      <c r="O507" s="2"/>
    </row>
    <row r="508" spans="2:15" ht="14">
      <c r="B508" s="17"/>
      <c r="C508" s="2"/>
      <c r="D508" s="2"/>
      <c r="E508" s="14"/>
      <c r="F508" s="2"/>
      <c r="G508" s="2"/>
      <c r="H508" s="2"/>
      <c r="I508" s="2"/>
      <c r="J508" s="2"/>
      <c r="K508" s="2"/>
      <c r="L508" s="2"/>
      <c r="M508" s="2"/>
      <c r="N508" s="2"/>
      <c r="O508" s="2"/>
    </row>
    <row r="509" spans="2:15" ht="14">
      <c r="B509" s="17"/>
      <c r="C509" s="2"/>
      <c r="D509" s="2"/>
      <c r="E509" s="14"/>
      <c r="F509" s="2"/>
      <c r="G509" s="2"/>
      <c r="H509" s="2"/>
      <c r="I509" s="2"/>
      <c r="J509" s="2"/>
      <c r="K509" s="2"/>
      <c r="L509" s="2"/>
      <c r="M509" s="2"/>
      <c r="N509" s="2"/>
      <c r="O509" s="2"/>
    </row>
    <row r="510" spans="2:15" ht="14">
      <c r="B510" s="17"/>
      <c r="C510" s="2"/>
      <c r="D510" s="2"/>
      <c r="E510" s="14"/>
      <c r="F510" s="2"/>
      <c r="G510" s="2"/>
      <c r="H510" s="2"/>
      <c r="I510" s="2"/>
      <c r="J510" s="2"/>
      <c r="K510" s="2"/>
      <c r="L510" s="2"/>
      <c r="M510" s="2"/>
      <c r="N510" s="2"/>
      <c r="O510" s="2"/>
    </row>
    <row r="511" spans="2:15" ht="14">
      <c r="B511" s="17"/>
      <c r="C511" s="2"/>
      <c r="D511" s="2"/>
      <c r="E511" s="14"/>
      <c r="F511" s="2"/>
      <c r="G511" s="2"/>
      <c r="H511" s="2"/>
      <c r="I511" s="2"/>
      <c r="J511" s="2"/>
      <c r="K511" s="2"/>
      <c r="L511" s="2"/>
      <c r="M511" s="2"/>
      <c r="N511" s="2"/>
      <c r="O511" s="2"/>
    </row>
    <row r="512" spans="2:15" ht="14">
      <c r="B512" s="17"/>
      <c r="C512" s="2"/>
      <c r="D512" s="2"/>
      <c r="E512" s="14"/>
      <c r="F512" s="2"/>
      <c r="G512" s="2"/>
      <c r="H512" s="2"/>
      <c r="I512" s="2"/>
      <c r="J512" s="2"/>
      <c r="K512" s="2"/>
      <c r="L512" s="2"/>
      <c r="M512" s="2"/>
      <c r="N512" s="2"/>
      <c r="O512" s="2"/>
    </row>
    <row r="513" spans="2:15" ht="14">
      <c r="B513" s="17"/>
      <c r="C513" s="2"/>
      <c r="D513" s="2"/>
      <c r="E513" s="14"/>
      <c r="F513" s="2"/>
      <c r="G513" s="2"/>
      <c r="H513" s="2"/>
      <c r="I513" s="2"/>
      <c r="J513" s="2"/>
      <c r="K513" s="2"/>
      <c r="L513" s="2"/>
      <c r="M513" s="2"/>
      <c r="N513" s="2"/>
      <c r="O513" s="2"/>
    </row>
    <row r="514" spans="2:15" ht="14">
      <c r="B514" s="17"/>
      <c r="C514" s="2"/>
      <c r="D514" s="2"/>
      <c r="E514" s="14"/>
      <c r="F514" s="2"/>
      <c r="G514" s="2"/>
      <c r="H514" s="2"/>
      <c r="I514" s="2"/>
      <c r="J514" s="2"/>
      <c r="K514" s="2"/>
      <c r="L514" s="2"/>
      <c r="M514" s="2"/>
      <c r="N514" s="2"/>
      <c r="O514" s="2"/>
    </row>
    <row r="515" spans="2:15" ht="14">
      <c r="B515" s="17"/>
      <c r="C515" s="2"/>
      <c r="D515" s="2"/>
      <c r="E515" s="14"/>
      <c r="F515" s="2"/>
      <c r="G515" s="2"/>
      <c r="H515" s="2"/>
      <c r="I515" s="2"/>
      <c r="J515" s="2"/>
      <c r="K515" s="2"/>
      <c r="L515" s="2"/>
      <c r="M515" s="2"/>
      <c r="N515" s="2"/>
      <c r="O515" s="2"/>
    </row>
    <row r="516" spans="2:15" ht="14">
      <c r="B516" s="17"/>
      <c r="C516" s="2"/>
      <c r="D516" s="2"/>
      <c r="E516" s="14"/>
      <c r="F516" s="2"/>
      <c r="G516" s="2"/>
      <c r="H516" s="2"/>
      <c r="I516" s="2"/>
      <c r="J516" s="2"/>
      <c r="K516" s="2"/>
      <c r="L516" s="2"/>
      <c r="M516" s="2"/>
      <c r="N516" s="2"/>
      <c r="O516" s="2"/>
    </row>
    <row r="517" spans="2:15" ht="14">
      <c r="B517" s="17"/>
      <c r="C517" s="2"/>
      <c r="D517" s="2"/>
      <c r="E517" s="14"/>
      <c r="F517" s="2"/>
      <c r="G517" s="2"/>
      <c r="H517" s="2"/>
      <c r="I517" s="2"/>
      <c r="J517" s="2"/>
      <c r="K517" s="2"/>
      <c r="L517" s="2"/>
      <c r="M517" s="2"/>
      <c r="N517" s="2"/>
      <c r="O517" s="2"/>
    </row>
    <row r="518" spans="2:15" ht="14">
      <c r="B518" s="17"/>
      <c r="C518" s="2"/>
      <c r="D518" s="2"/>
      <c r="E518" s="14"/>
      <c r="F518" s="2"/>
      <c r="G518" s="2"/>
      <c r="H518" s="2"/>
      <c r="I518" s="2"/>
      <c r="J518" s="2"/>
      <c r="K518" s="2"/>
      <c r="L518" s="2"/>
      <c r="M518" s="2"/>
      <c r="N518" s="2"/>
      <c r="O518" s="2"/>
    </row>
    <row r="519" spans="2:15" ht="14">
      <c r="B519" s="17"/>
      <c r="C519" s="2"/>
      <c r="D519" s="2"/>
      <c r="E519" s="14"/>
      <c r="F519" s="2"/>
      <c r="G519" s="2"/>
      <c r="H519" s="2"/>
      <c r="I519" s="2"/>
      <c r="J519" s="2"/>
      <c r="K519" s="2"/>
      <c r="L519" s="2"/>
      <c r="M519" s="2"/>
      <c r="N519" s="2"/>
      <c r="O519" s="2"/>
    </row>
    <row r="520" spans="2:15" ht="14">
      <c r="B520" s="17"/>
      <c r="C520" s="2"/>
      <c r="D520" s="2"/>
      <c r="E520" s="14"/>
      <c r="F520" s="2"/>
      <c r="G520" s="2"/>
      <c r="H520" s="2"/>
      <c r="I520" s="2"/>
      <c r="J520" s="2"/>
      <c r="K520" s="2"/>
      <c r="L520" s="2"/>
      <c r="M520" s="2"/>
      <c r="N520" s="2"/>
      <c r="O520" s="2"/>
    </row>
    <row r="521" spans="2:15" ht="14">
      <c r="B521" s="17"/>
      <c r="C521" s="2"/>
      <c r="D521" s="2"/>
      <c r="E521" s="14"/>
      <c r="F521" s="2"/>
      <c r="G521" s="2"/>
      <c r="H521" s="2"/>
      <c r="I521" s="2"/>
      <c r="J521" s="2"/>
      <c r="K521" s="2"/>
      <c r="L521" s="2"/>
      <c r="M521" s="2"/>
      <c r="N521" s="2"/>
      <c r="O521" s="2"/>
    </row>
    <row r="522" spans="2:15" ht="14">
      <c r="B522" s="17"/>
      <c r="C522" s="2"/>
      <c r="D522" s="2"/>
      <c r="E522" s="14"/>
      <c r="F522" s="2"/>
      <c r="G522" s="2"/>
      <c r="H522" s="2"/>
      <c r="I522" s="2"/>
      <c r="J522" s="2"/>
      <c r="K522" s="2"/>
      <c r="L522" s="2"/>
      <c r="M522" s="2"/>
      <c r="N522" s="2"/>
      <c r="O522" s="2"/>
    </row>
    <row r="523" spans="2:15" ht="14">
      <c r="B523" s="17"/>
      <c r="C523" s="2"/>
      <c r="D523" s="2"/>
      <c r="E523" s="14"/>
      <c r="F523" s="2"/>
      <c r="G523" s="2"/>
      <c r="H523" s="2"/>
      <c r="I523" s="2"/>
      <c r="J523" s="2"/>
      <c r="K523" s="2"/>
      <c r="L523" s="2"/>
      <c r="M523" s="2"/>
      <c r="N523" s="2"/>
      <c r="O523" s="2"/>
    </row>
    <row r="524" spans="2:15" ht="14">
      <c r="B524" s="17"/>
      <c r="C524" s="2"/>
      <c r="D524" s="2"/>
      <c r="E524" s="14"/>
      <c r="F524" s="2"/>
      <c r="G524" s="2"/>
      <c r="H524" s="2"/>
      <c r="I524" s="2"/>
      <c r="J524" s="2"/>
      <c r="K524" s="2"/>
      <c r="L524" s="2"/>
      <c r="M524" s="2"/>
      <c r="N524" s="2"/>
      <c r="O524" s="2"/>
    </row>
    <row r="525" spans="2:15" ht="14">
      <c r="B525" s="17"/>
      <c r="C525" s="2"/>
      <c r="D525" s="2"/>
      <c r="E525" s="14"/>
      <c r="F525" s="2"/>
      <c r="G525" s="2"/>
      <c r="H525" s="2"/>
      <c r="I525" s="2"/>
      <c r="J525" s="2"/>
      <c r="K525" s="2"/>
      <c r="L525" s="2"/>
      <c r="M525" s="2"/>
      <c r="N525" s="2"/>
      <c r="O525" s="2"/>
    </row>
    <row r="526" spans="2:15" ht="14">
      <c r="B526" s="17"/>
      <c r="C526" s="2"/>
      <c r="D526" s="2"/>
      <c r="E526" s="14"/>
      <c r="F526" s="2"/>
      <c r="G526" s="2"/>
      <c r="H526" s="2"/>
      <c r="I526" s="2"/>
      <c r="J526" s="2"/>
      <c r="K526" s="2"/>
      <c r="L526" s="2"/>
      <c r="M526" s="2"/>
      <c r="N526" s="2"/>
      <c r="O526" s="2"/>
    </row>
    <row r="527" spans="2:15" ht="14">
      <c r="B527" s="17"/>
      <c r="C527" s="2"/>
      <c r="D527" s="2"/>
      <c r="E527" s="14"/>
      <c r="F527" s="2"/>
      <c r="G527" s="2"/>
      <c r="H527" s="2"/>
      <c r="I527" s="2"/>
      <c r="J527" s="2"/>
      <c r="K527" s="2"/>
      <c r="L527" s="2"/>
      <c r="M527" s="2"/>
      <c r="N527" s="2"/>
      <c r="O527" s="2"/>
    </row>
    <row r="528" spans="2:15" ht="14">
      <c r="B528" s="17"/>
      <c r="C528" s="2"/>
      <c r="D528" s="2"/>
      <c r="E528" s="14"/>
      <c r="F528" s="2"/>
      <c r="G528" s="2"/>
      <c r="H528" s="2"/>
      <c r="I528" s="2"/>
      <c r="J528" s="2"/>
      <c r="K528" s="2"/>
      <c r="L528" s="2"/>
      <c r="M528" s="2"/>
      <c r="N528" s="2"/>
      <c r="O528" s="2"/>
    </row>
    <row r="529" spans="2:15" ht="14">
      <c r="B529" s="17"/>
      <c r="C529" s="2"/>
      <c r="D529" s="2"/>
      <c r="E529" s="14"/>
      <c r="F529" s="2"/>
      <c r="G529" s="2"/>
      <c r="H529" s="2"/>
      <c r="I529" s="2"/>
      <c r="J529" s="2"/>
      <c r="K529" s="2"/>
      <c r="L529" s="2"/>
      <c r="M529" s="2"/>
      <c r="N529" s="2"/>
      <c r="O529" s="2"/>
    </row>
    <row r="530" spans="2:15" ht="14">
      <c r="B530" s="17"/>
      <c r="C530" s="2"/>
      <c r="D530" s="2"/>
      <c r="E530" s="14"/>
      <c r="F530" s="2"/>
      <c r="G530" s="2"/>
      <c r="H530" s="2"/>
      <c r="I530" s="2"/>
      <c r="J530" s="2"/>
      <c r="K530" s="2"/>
      <c r="L530" s="2"/>
      <c r="M530" s="2"/>
      <c r="N530" s="2"/>
      <c r="O530" s="2"/>
    </row>
    <row r="531" spans="2:15" ht="14">
      <c r="B531" s="17"/>
      <c r="C531" s="2"/>
      <c r="D531" s="2"/>
      <c r="E531" s="14"/>
      <c r="F531" s="2"/>
      <c r="G531" s="2"/>
      <c r="H531" s="2"/>
      <c r="I531" s="2"/>
      <c r="J531" s="2"/>
      <c r="K531" s="2"/>
      <c r="L531" s="2"/>
      <c r="M531" s="2"/>
      <c r="N531" s="2"/>
      <c r="O531" s="2"/>
    </row>
    <row r="532" spans="2:15" ht="14">
      <c r="B532" s="17"/>
      <c r="C532" s="2"/>
      <c r="D532" s="2"/>
      <c r="E532" s="14"/>
      <c r="F532" s="2"/>
      <c r="G532" s="2"/>
      <c r="H532" s="2"/>
      <c r="I532" s="2"/>
      <c r="J532" s="2"/>
      <c r="K532" s="2"/>
      <c r="L532" s="2"/>
      <c r="M532" s="2"/>
      <c r="N532" s="2"/>
      <c r="O532" s="2"/>
    </row>
    <row r="533" spans="2:15" ht="14">
      <c r="B533" s="17"/>
      <c r="C533" s="2"/>
      <c r="D533" s="2"/>
      <c r="E533" s="14"/>
      <c r="F533" s="2"/>
      <c r="G533" s="2"/>
      <c r="H533" s="2"/>
      <c r="I533" s="2"/>
      <c r="J533" s="2"/>
      <c r="K533" s="2"/>
      <c r="L533" s="2"/>
      <c r="M533" s="2"/>
      <c r="N533" s="2"/>
      <c r="O533" s="2"/>
    </row>
    <row r="534" spans="2:15" ht="14">
      <c r="B534" s="17"/>
      <c r="C534" s="2"/>
      <c r="D534" s="2"/>
      <c r="E534" s="14"/>
      <c r="F534" s="2"/>
      <c r="G534" s="2"/>
      <c r="H534" s="2"/>
      <c r="I534" s="2"/>
      <c r="J534" s="2"/>
      <c r="K534" s="2"/>
      <c r="L534" s="2"/>
      <c r="M534" s="2"/>
      <c r="N534" s="2"/>
      <c r="O534" s="2"/>
    </row>
    <row r="535" spans="2:15" ht="14">
      <c r="B535" s="17"/>
      <c r="C535" s="2"/>
      <c r="D535" s="2"/>
      <c r="E535" s="14"/>
      <c r="F535" s="2"/>
      <c r="G535" s="2"/>
      <c r="H535" s="2"/>
      <c r="I535" s="2"/>
      <c r="J535" s="2"/>
      <c r="K535" s="2"/>
      <c r="L535" s="2"/>
      <c r="M535" s="2"/>
      <c r="N535" s="2"/>
      <c r="O535" s="2"/>
    </row>
    <row r="536" spans="2:15" ht="14">
      <c r="B536" s="17"/>
      <c r="C536" s="2"/>
      <c r="D536" s="2"/>
      <c r="E536" s="14"/>
      <c r="F536" s="2"/>
      <c r="G536" s="2"/>
      <c r="H536" s="2"/>
      <c r="I536" s="2"/>
      <c r="J536" s="2"/>
      <c r="K536" s="2"/>
      <c r="L536" s="2"/>
      <c r="M536" s="2"/>
      <c r="N536" s="2"/>
      <c r="O536" s="2"/>
    </row>
    <row r="537" spans="2:15" ht="14">
      <c r="B537" s="17"/>
      <c r="C537" s="2"/>
      <c r="D537" s="2"/>
      <c r="E537" s="14"/>
      <c r="F537" s="2"/>
      <c r="G537" s="2"/>
      <c r="H537" s="2"/>
      <c r="I537" s="2"/>
      <c r="J537" s="2"/>
      <c r="K537" s="2"/>
      <c r="L537" s="2"/>
      <c r="M537" s="2"/>
      <c r="N537" s="2"/>
      <c r="O537" s="2"/>
    </row>
    <row r="538" spans="2:15" ht="14">
      <c r="B538" s="17"/>
      <c r="C538" s="2"/>
      <c r="D538" s="2"/>
      <c r="E538" s="14"/>
      <c r="F538" s="2"/>
      <c r="G538" s="2"/>
      <c r="H538" s="2"/>
      <c r="I538" s="2"/>
      <c r="J538" s="2"/>
      <c r="K538" s="2"/>
      <c r="L538" s="2"/>
      <c r="M538" s="2"/>
      <c r="N538" s="2"/>
      <c r="O538" s="2"/>
    </row>
    <row r="539" spans="2:15" ht="14">
      <c r="B539" s="17"/>
      <c r="C539" s="2"/>
      <c r="D539" s="2"/>
      <c r="E539" s="14"/>
      <c r="F539" s="2"/>
      <c r="G539" s="2"/>
      <c r="H539" s="2"/>
      <c r="I539" s="2"/>
      <c r="J539" s="2"/>
      <c r="K539" s="2"/>
      <c r="L539" s="2"/>
      <c r="M539" s="2"/>
      <c r="N539" s="2"/>
      <c r="O539" s="2"/>
    </row>
    <row r="540" spans="2:15" ht="14">
      <c r="B540" s="17"/>
      <c r="C540" s="2"/>
      <c r="D540" s="2"/>
      <c r="E540" s="14"/>
      <c r="F540" s="2"/>
      <c r="G540" s="2"/>
      <c r="H540" s="2"/>
      <c r="I540" s="2"/>
      <c r="J540" s="2"/>
      <c r="K540" s="2"/>
      <c r="L540" s="2"/>
      <c r="M540" s="2"/>
      <c r="N540" s="2"/>
      <c r="O540" s="2"/>
    </row>
    <row r="541" spans="2:15" ht="14">
      <c r="B541" s="17"/>
      <c r="C541" s="2"/>
      <c r="D541" s="2"/>
      <c r="E541" s="14"/>
      <c r="F541" s="2"/>
      <c r="G541" s="2"/>
      <c r="H541" s="2"/>
      <c r="I541" s="2"/>
      <c r="J541" s="2"/>
      <c r="K541" s="2"/>
      <c r="L541" s="2"/>
      <c r="M541" s="2"/>
      <c r="N541" s="2"/>
      <c r="O541" s="2"/>
    </row>
    <row r="542" spans="2:15" ht="14">
      <c r="B542" s="17"/>
      <c r="C542" s="2"/>
      <c r="D542" s="2"/>
      <c r="E542" s="14"/>
      <c r="F542" s="2"/>
      <c r="G542" s="2"/>
      <c r="H542" s="2"/>
      <c r="I542" s="2"/>
      <c r="J542" s="2"/>
      <c r="K542" s="2"/>
      <c r="L542" s="2"/>
      <c r="M542" s="2"/>
      <c r="N542" s="2"/>
      <c r="O542" s="2"/>
    </row>
    <row r="543" spans="2:15" ht="14">
      <c r="B543" s="17"/>
      <c r="C543" s="2"/>
      <c r="D543" s="2"/>
      <c r="E543" s="14"/>
      <c r="F543" s="2"/>
      <c r="G543" s="2"/>
      <c r="H543" s="2"/>
      <c r="I543" s="2"/>
      <c r="J543" s="2"/>
      <c r="K543" s="2"/>
      <c r="L543" s="2"/>
      <c r="M543" s="2"/>
      <c r="N543" s="2"/>
      <c r="O543" s="2"/>
    </row>
    <row r="544" spans="2:15" ht="14">
      <c r="B544" s="17"/>
      <c r="C544" s="2"/>
      <c r="D544" s="2"/>
      <c r="E544" s="14"/>
      <c r="F544" s="2"/>
      <c r="G544" s="2"/>
      <c r="H544" s="2"/>
      <c r="I544" s="2"/>
      <c r="J544" s="2"/>
      <c r="K544" s="2"/>
      <c r="L544" s="2"/>
      <c r="M544" s="2"/>
      <c r="N544" s="2"/>
      <c r="O544" s="2"/>
    </row>
    <row r="545" spans="2:15" ht="14">
      <c r="B545" s="17"/>
      <c r="C545" s="2"/>
      <c r="D545" s="2"/>
      <c r="E545" s="14"/>
      <c r="F545" s="2"/>
      <c r="G545" s="2"/>
      <c r="H545" s="2"/>
      <c r="I545" s="2"/>
      <c r="J545" s="2"/>
      <c r="K545" s="2"/>
      <c r="L545" s="2"/>
      <c r="M545" s="2"/>
      <c r="N545" s="2"/>
      <c r="O545" s="2"/>
    </row>
    <row r="546" spans="2:15" ht="14">
      <c r="B546" s="17"/>
      <c r="C546" s="2"/>
      <c r="D546" s="2"/>
      <c r="E546" s="14"/>
      <c r="F546" s="2"/>
      <c r="G546" s="2"/>
      <c r="H546" s="2"/>
      <c r="I546" s="2"/>
      <c r="J546" s="2"/>
      <c r="K546" s="2"/>
      <c r="L546" s="2"/>
      <c r="M546" s="2"/>
      <c r="N546" s="2"/>
      <c r="O546" s="2"/>
    </row>
    <row r="547" spans="2:15" ht="14">
      <c r="B547" s="17"/>
      <c r="C547" s="2"/>
      <c r="D547" s="2"/>
      <c r="E547" s="14"/>
      <c r="F547" s="2"/>
      <c r="G547" s="2"/>
      <c r="H547" s="2"/>
      <c r="I547" s="2"/>
      <c r="J547" s="2"/>
      <c r="K547" s="2"/>
      <c r="L547" s="2"/>
      <c r="M547" s="2"/>
      <c r="N547" s="2"/>
      <c r="O547" s="2"/>
    </row>
    <row r="548" spans="2:15" ht="14">
      <c r="B548" s="17"/>
      <c r="C548" s="2"/>
      <c r="D548" s="2"/>
      <c r="E548" s="14"/>
      <c r="F548" s="2"/>
      <c r="G548" s="2"/>
      <c r="H548" s="2"/>
      <c r="I548" s="2"/>
      <c r="J548" s="2"/>
      <c r="K548" s="2"/>
      <c r="L548" s="2"/>
      <c r="M548" s="2"/>
      <c r="N548" s="2"/>
      <c r="O548" s="2"/>
    </row>
    <row r="549" spans="2:15" ht="14">
      <c r="B549" s="17"/>
      <c r="C549" s="2"/>
      <c r="D549" s="2"/>
      <c r="E549" s="14"/>
      <c r="F549" s="2"/>
      <c r="G549" s="2"/>
      <c r="H549" s="2"/>
      <c r="I549" s="2"/>
      <c r="J549" s="2"/>
      <c r="K549" s="2"/>
      <c r="L549" s="2"/>
      <c r="M549" s="2"/>
      <c r="N549" s="2"/>
      <c r="O549" s="2"/>
    </row>
    <row r="550" spans="2:15" ht="14">
      <c r="B550" s="17"/>
      <c r="C550" s="2"/>
      <c r="D550" s="2"/>
      <c r="E550" s="14"/>
      <c r="F550" s="2"/>
      <c r="G550" s="2"/>
      <c r="H550" s="2"/>
      <c r="I550" s="2"/>
      <c r="J550" s="2"/>
      <c r="K550" s="2"/>
      <c r="L550" s="2"/>
      <c r="M550" s="2"/>
      <c r="N550" s="2"/>
      <c r="O550" s="2"/>
    </row>
    <row r="551" spans="2:15" ht="14">
      <c r="B551" s="17"/>
      <c r="C551" s="2"/>
      <c r="D551" s="2"/>
      <c r="E551" s="14"/>
      <c r="F551" s="2"/>
      <c r="G551" s="2"/>
      <c r="H551" s="2"/>
      <c r="I551" s="2"/>
      <c r="J551" s="2"/>
      <c r="K551" s="2"/>
      <c r="L551" s="2"/>
      <c r="M551" s="2"/>
      <c r="N551" s="2"/>
      <c r="O551" s="2"/>
    </row>
    <row r="552" spans="2:15" ht="14">
      <c r="B552" s="17"/>
      <c r="C552" s="2"/>
      <c r="D552" s="2"/>
      <c r="E552" s="14"/>
      <c r="F552" s="2"/>
      <c r="G552" s="2"/>
      <c r="H552" s="2"/>
      <c r="I552" s="2"/>
      <c r="J552" s="2"/>
      <c r="K552" s="2"/>
      <c r="L552" s="2"/>
      <c r="M552" s="2"/>
      <c r="N552" s="2"/>
      <c r="O552" s="2"/>
    </row>
    <row r="553" spans="2:15" ht="14">
      <c r="B553" s="17"/>
      <c r="C553" s="2"/>
      <c r="D553" s="2"/>
      <c r="E553" s="14"/>
      <c r="F553" s="2"/>
      <c r="G553" s="2"/>
      <c r="H553" s="2"/>
      <c r="I553" s="2"/>
      <c r="J553" s="2"/>
      <c r="K553" s="2"/>
      <c r="L553" s="2"/>
      <c r="M553" s="2"/>
      <c r="N553" s="2"/>
      <c r="O553" s="2"/>
    </row>
    <row r="554" spans="2:15" ht="14">
      <c r="B554" s="17"/>
      <c r="C554" s="2"/>
      <c r="D554" s="2"/>
      <c r="E554" s="14"/>
      <c r="F554" s="2"/>
      <c r="G554" s="2"/>
      <c r="H554" s="2"/>
      <c r="I554" s="2"/>
      <c r="J554" s="2"/>
      <c r="K554" s="2"/>
      <c r="L554" s="2"/>
      <c r="M554" s="2"/>
      <c r="N554" s="2"/>
      <c r="O554" s="2"/>
    </row>
    <row r="555" spans="2:15" ht="14">
      <c r="B555" s="17"/>
      <c r="C555" s="2"/>
      <c r="D555" s="2"/>
      <c r="E555" s="14"/>
      <c r="F555" s="2"/>
      <c r="G555" s="2"/>
      <c r="H555" s="2"/>
      <c r="I555" s="2"/>
      <c r="J555" s="2"/>
      <c r="K555" s="2"/>
      <c r="L555" s="2"/>
      <c r="M555" s="2"/>
      <c r="N555" s="2"/>
      <c r="O555" s="2"/>
    </row>
    <row r="556" spans="2:15" ht="14">
      <c r="B556" s="17"/>
      <c r="C556" s="2"/>
      <c r="D556" s="2"/>
      <c r="E556" s="14"/>
      <c r="F556" s="2"/>
      <c r="G556" s="2"/>
      <c r="H556" s="2"/>
      <c r="I556" s="2"/>
      <c r="J556" s="2"/>
      <c r="K556" s="2"/>
      <c r="L556" s="2"/>
      <c r="M556" s="2"/>
      <c r="N556" s="2"/>
      <c r="O556" s="2"/>
    </row>
    <row r="557" spans="2:15" ht="14">
      <c r="B557" s="17"/>
      <c r="C557" s="2"/>
      <c r="D557" s="2"/>
      <c r="E557" s="14"/>
      <c r="F557" s="2"/>
      <c r="G557" s="2"/>
      <c r="H557" s="2"/>
      <c r="I557" s="2"/>
      <c r="J557" s="2"/>
      <c r="K557" s="2"/>
      <c r="L557" s="2"/>
      <c r="M557" s="2"/>
      <c r="N557" s="2"/>
      <c r="O557" s="2"/>
    </row>
    <row r="558" spans="2:15" ht="14">
      <c r="B558" s="17"/>
      <c r="C558" s="2"/>
      <c r="D558" s="2"/>
      <c r="E558" s="14"/>
      <c r="F558" s="2"/>
      <c r="G558" s="2"/>
      <c r="H558" s="2"/>
      <c r="I558" s="2"/>
      <c r="J558" s="2"/>
      <c r="K558" s="2"/>
      <c r="L558" s="2"/>
      <c r="M558" s="2"/>
      <c r="N558" s="2"/>
      <c r="O558" s="2"/>
    </row>
    <row r="559" spans="2:15" ht="14">
      <c r="B559" s="17"/>
      <c r="C559" s="2"/>
      <c r="D559" s="2"/>
      <c r="E559" s="14"/>
      <c r="F559" s="2"/>
      <c r="G559" s="2"/>
      <c r="H559" s="2"/>
      <c r="I559" s="2"/>
      <c r="J559" s="2"/>
      <c r="K559" s="2"/>
      <c r="L559" s="2"/>
      <c r="M559" s="2"/>
      <c r="N559" s="2"/>
      <c r="O559" s="2"/>
    </row>
    <row r="560" spans="2:15" ht="14">
      <c r="B560" s="17"/>
      <c r="C560" s="2"/>
      <c r="D560" s="2"/>
      <c r="E560" s="14"/>
      <c r="F560" s="2"/>
      <c r="G560" s="2"/>
      <c r="H560" s="2"/>
      <c r="I560" s="2"/>
      <c r="J560" s="2"/>
      <c r="K560" s="2"/>
      <c r="L560" s="2"/>
      <c r="M560" s="2"/>
      <c r="N560" s="2"/>
      <c r="O560" s="2"/>
    </row>
    <row r="561" spans="2:15" ht="14">
      <c r="B561" s="17"/>
      <c r="C561" s="2"/>
      <c r="D561" s="2"/>
      <c r="E561" s="14"/>
      <c r="F561" s="2"/>
      <c r="G561" s="2"/>
      <c r="H561" s="2"/>
      <c r="I561" s="2"/>
      <c r="J561" s="2"/>
      <c r="K561" s="2"/>
      <c r="L561" s="2"/>
      <c r="M561" s="2"/>
      <c r="N561" s="2"/>
      <c r="O561" s="2"/>
    </row>
    <row r="562" spans="2:15" ht="14">
      <c r="B562" s="17"/>
      <c r="C562" s="2"/>
      <c r="D562" s="2"/>
      <c r="E562" s="14"/>
      <c r="F562" s="2"/>
      <c r="G562" s="2"/>
      <c r="H562" s="2"/>
      <c r="I562" s="2"/>
      <c r="J562" s="2"/>
      <c r="K562" s="2"/>
      <c r="L562" s="2"/>
      <c r="M562" s="2"/>
      <c r="N562" s="2"/>
      <c r="O562" s="2"/>
    </row>
    <row r="563" spans="2:15" ht="14">
      <c r="B563" s="17"/>
      <c r="C563" s="2"/>
      <c r="D563" s="2"/>
      <c r="E563" s="14"/>
      <c r="F563" s="2"/>
      <c r="G563" s="2"/>
      <c r="H563" s="2"/>
      <c r="I563" s="2"/>
      <c r="J563" s="2"/>
      <c r="K563" s="2"/>
      <c r="L563" s="2"/>
      <c r="M563" s="2"/>
      <c r="N563" s="2"/>
      <c r="O563" s="2"/>
    </row>
    <row r="564" spans="2:15" ht="14">
      <c r="B564" s="17"/>
      <c r="C564" s="2"/>
      <c r="D564" s="2"/>
      <c r="E564" s="14"/>
      <c r="F564" s="2"/>
      <c r="G564" s="2"/>
      <c r="H564" s="2"/>
      <c r="I564" s="2"/>
      <c r="J564" s="2"/>
      <c r="K564" s="2"/>
      <c r="L564" s="2"/>
      <c r="M564" s="2"/>
      <c r="N564" s="2"/>
      <c r="O564" s="2"/>
    </row>
    <row r="565" spans="2:15" ht="14">
      <c r="B565" s="17"/>
      <c r="C565" s="2"/>
      <c r="D565" s="2"/>
      <c r="E565" s="14"/>
      <c r="F565" s="2"/>
      <c r="G565" s="2"/>
      <c r="H565" s="2"/>
      <c r="I565" s="2"/>
      <c r="J565" s="2"/>
      <c r="K565" s="2"/>
      <c r="L565" s="2"/>
      <c r="M565" s="2"/>
      <c r="N565" s="2"/>
      <c r="O565" s="2"/>
    </row>
    <row r="566" spans="2:15" ht="14">
      <c r="B566" s="17"/>
      <c r="C566" s="2"/>
      <c r="D566" s="2"/>
      <c r="E566" s="14"/>
      <c r="F566" s="2"/>
      <c r="G566" s="2"/>
      <c r="H566" s="2"/>
      <c r="I566" s="2"/>
      <c r="J566" s="2"/>
      <c r="K566" s="2"/>
      <c r="L566" s="2"/>
      <c r="M566" s="2"/>
      <c r="N566" s="2"/>
      <c r="O566" s="2"/>
    </row>
    <row r="567" spans="2:15" ht="14">
      <c r="B567" s="17"/>
      <c r="C567" s="2"/>
      <c r="D567" s="2"/>
      <c r="E567" s="14"/>
      <c r="F567" s="2"/>
      <c r="G567" s="2"/>
      <c r="H567" s="2"/>
      <c r="I567" s="2"/>
      <c r="J567" s="2"/>
      <c r="K567" s="2"/>
      <c r="L567" s="2"/>
      <c r="M567" s="2"/>
      <c r="N567" s="2"/>
      <c r="O567" s="2"/>
    </row>
    <row r="568" spans="2:15" ht="14">
      <c r="B568" s="17"/>
      <c r="C568" s="2"/>
      <c r="D568" s="2"/>
      <c r="E568" s="14"/>
      <c r="F568" s="2"/>
      <c r="G568" s="2"/>
      <c r="H568" s="2"/>
      <c r="I568" s="2"/>
      <c r="J568" s="2"/>
      <c r="K568" s="2"/>
      <c r="L568" s="2"/>
      <c r="M568" s="2"/>
      <c r="N568" s="2"/>
      <c r="O568" s="2"/>
    </row>
    <row r="569" spans="2:15" ht="14">
      <c r="B569" s="17"/>
      <c r="C569" s="2"/>
      <c r="D569" s="2"/>
      <c r="E569" s="14"/>
      <c r="F569" s="2"/>
      <c r="G569" s="2"/>
      <c r="H569" s="2"/>
      <c r="I569" s="2"/>
      <c r="J569" s="2"/>
      <c r="K569" s="2"/>
      <c r="L569" s="2"/>
      <c r="M569" s="2"/>
      <c r="N569" s="2"/>
      <c r="O569" s="2"/>
    </row>
    <row r="570" spans="2:15" ht="14">
      <c r="B570" s="17"/>
      <c r="C570" s="2"/>
      <c r="D570" s="2"/>
      <c r="E570" s="14"/>
      <c r="F570" s="2"/>
      <c r="G570" s="2"/>
      <c r="H570" s="2"/>
      <c r="I570" s="2"/>
      <c r="J570" s="2"/>
      <c r="K570" s="2"/>
      <c r="L570" s="2"/>
      <c r="M570" s="2"/>
      <c r="N570" s="2"/>
      <c r="O570" s="2"/>
    </row>
    <row r="571" spans="2:15" ht="14">
      <c r="B571" s="17"/>
      <c r="C571" s="2"/>
      <c r="D571" s="2"/>
      <c r="E571" s="14"/>
      <c r="F571" s="2"/>
      <c r="G571" s="2"/>
      <c r="H571" s="2"/>
      <c r="I571" s="2"/>
      <c r="J571" s="2"/>
      <c r="K571" s="2"/>
      <c r="L571" s="2"/>
      <c r="M571" s="2"/>
      <c r="N571" s="2"/>
      <c r="O571" s="2"/>
    </row>
    <row r="572" spans="2:15" ht="14">
      <c r="B572" s="17"/>
      <c r="C572" s="2"/>
      <c r="D572" s="2"/>
      <c r="E572" s="14"/>
      <c r="F572" s="2"/>
      <c r="G572" s="2"/>
      <c r="H572" s="2"/>
      <c r="I572" s="2"/>
      <c r="J572" s="2"/>
      <c r="K572" s="2"/>
      <c r="L572" s="2"/>
      <c r="M572" s="2"/>
      <c r="N572" s="2"/>
      <c r="O572" s="2"/>
    </row>
    <row r="573" spans="2:15" ht="14">
      <c r="B573" s="17"/>
      <c r="C573" s="2"/>
      <c r="D573" s="2"/>
      <c r="E573" s="14"/>
      <c r="F573" s="2"/>
      <c r="G573" s="2"/>
      <c r="H573" s="2"/>
      <c r="I573" s="2"/>
      <c r="J573" s="2"/>
      <c r="K573" s="2"/>
      <c r="L573" s="2"/>
      <c r="M573" s="2"/>
      <c r="N573" s="2"/>
      <c r="O573" s="2"/>
    </row>
    <row r="574" spans="2:15" ht="14">
      <c r="B574" s="17"/>
      <c r="C574" s="2"/>
      <c r="D574" s="2"/>
      <c r="E574" s="14"/>
      <c r="F574" s="2"/>
      <c r="G574" s="2"/>
      <c r="H574" s="2"/>
      <c r="I574" s="2"/>
      <c r="J574" s="2"/>
      <c r="K574" s="2"/>
      <c r="L574" s="2"/>
      <c r="M574" s="2"/>
      <c r="N574" s="2"/>
      <c r="O574" s="2"/>
    </row>
    <row r="575" spans="2:15" ht="14">
      <c r="B575" s="17"/>
      <c r="C575" s="2"/>
      <c r="D575" s="2"/>
      <c r="E575" s="14"/>
      <c r="F575" s="2"/>
      <c r="G575" s="2"/>
      <c r="H575" s="2"/>
      <c r="I575" s="2"/>
      <c r="J575" s="2"/>
      <c r="K575" s="2"/>
      <c r="L575" s="2"/>
      <c r="M575" s="2"/>
      <c r="N575" s="2"/>
      <c r="O575" s="2"/>
    </row>
    <row r="576" spans="2:15" ht="14">
      <c r="B576" s="17"/>
      <c r="C576" s="2"/>
      <c r="D576" s="2"/>
      <c r="E576" s="14"/>
      <c r="F576" s="2"/>
      <c r="G576" s="2"/>
      <c r="H576" s="2"/>
      <c r="I576" s="2"/>
      <c r="J576" s="2"/>
      <c r="K576" s="2"/>
      <c r="L576" s="2"/>
      <c r="M576" s="2"/>
      <c r="N576" s="2"/>
      <c r="O576" s="2"/>
    </row>
    <row r="577" spans="2:15" ht="14">
      <c r="B577" s="17"/>
      <c r="C577" s="2"/>
      <c r="D577" s="2"/>
      <c r="E577" s="14"/>
      <c r="F577" s="2"/>
      <c r="G577" s="2"/>
      <c r="H577" s="2"/>
      <c r="I577" s="2"/>
      <c r="J577" s="2"/>
      <c r="K577" s="2"/>
      <c r="L577" s="2"/>
      <c r="M577" s="2"/>
      <c r="N577" s="2"/>
      <c r="O577" s="2"/>
    </row>
    <row r="578" spans="2:15" ht="14">
      <c r="B578" s="17"/>
      <c r="C578" s="2"/>
      <c r="D578" s="2"/>
      <c r="E578" s="14"/>
      <c r="F578" s="2"/>
      <c r="G578" s="2"/>
      <c r="H578" s="2"/>
      <c r="I578" s="2"/>
      <c r="J578" s="2"/>
      <c r="K578" s="2"/>
      <c r="L578" s="2"/>
      <c r="M578" s="2"/>
      <c r="N578" s="2"/>
      <c r="O578" s="2"/>
    </row>
    <row r="579" spans="2:15" ht="14">
      <c r="B579" s="17"/>
      <c r="C579" s="2"/>
      <c r="D579" s="2"/>
      <c r="E579" s="14"/>
      <c r="F579" s="2"/>
      <c r="G579" s="2"/>
      <c r="H579" s="2"/>
      <c r="I579" s="2"/>
      <c r="J579" s="2"/>
      <c r="K579" s="2"/>
      <c r="L579" s="2"/>
      <c r="M579" s="2"/>
      <c r="N579" s="2"/>
      <c r="O579" s="2"/>
    </row>
    <row r="580" spans="2:15" ht="14">
      <c r="B580" s="17"/>
      <c r="C580" s="2"/>
      <c r="D580" s="2"/>
      <c r="E580" s="14"/>
      <c r="F580" s="2"/>
      <c r="G580" s="2"/>
      <c r="H580" s="2"/>
      <c r="I580" s="2"/>
      <c r="J580" s="2"/>
      <c r="K580" s="2"/>
      <c r="L580" s="2"/>
      <c r="M580" s="2"/>
      <c r="N580" s="2"/>
      <c r="O580" s="2"/>
    </row>
    <row r="581" spans="2:15" ht="14">
      <c r="B581" s="17"/>
      <c r="C581" s="2"/>
      <c r="D581" s="2"/>
      <c r="E581" s="14"/>
      <c r="F581" s="2"/>
      <c r="G581" s="2"/>
      <c r="H581" s="2"/>
      <c r="I581" s="2"/>
      <c r="J581" s="2"/>
      <c r="K581" s="2"/>
      <c r="L581" s="2"/>
      <c r="M581" s="2"/>
      <c r="N581" s="2"/>
      <c r="O581" s="2"/>
    </row>
    <row r="582" spans="2:15" ht="14">
      <c r="B582" s="17"/>
      <c r="C582" s="2"/>
      <c r="D582" s="2"/>
      <c r="E582" s="14"/>
      <c r="F582" s="2"/>
      <c r="G582" s="2"/>
      <c r="H582" s="2"/>
      <c r="I582" s="2"/>
      <c r="J582" s="2"/>
      <c r="K582" s="2"/>
      <c r="L582" s="2"/>
      <c r="M582" s="2"/>
      <c r="N582" s="2"/>
      <c r="O582" s="2"/>
    </row>
    <row r="583" spans="2:15" ht="14">
      <c r="B583" s="17"/>
      <c r="C583" s="2"/>
      <c r="D583" s="2"/>
      <c r="E583" s="14"/>
      <c r="F583" s="2"/>
      <c r="G583" s="2"/>
      <c r="H583" s="2"/>
      <c r="I583" s="2"/>
      <c r="J583" s="2"/>
      <c r="K583" s="2"/>
      <c r="L583" s="2"/>
      <c r="M583" s="2"/>
      <c r="N583" s="2"/>
      <c r="O583" s="2"/>
    </row>
    <row r="584" spans="2:15" ht="14">
      <c r="B584" s="17"/>
      <c r="C584" s="2"/>
      <c r="D584" s="2"/>
      <c r="E584" s="14"/>
      <c r="F584" s="2"/>
      <c r="G584" s="2"/>
      <c r="H584" s="2"/>
      <c r="I584" s="2"/>
      <c r="J584" s="2"/>
      <c r="K584" s="2"/>
      <c r="L584" s="2"/>
      <c r="M584" s="2"/>
      <c r="N584" s="2"/>
      <c r="O584" s="2"/>
    </row>
    <row r="585" spans="2:15" ht="14">
      <c r="B585" s="17"/>
      <c r="C585" s="2"/>
      <c r="D585" s="2"/>
      <c r="E585" s="14"/>
      <c r="F585" s="2"/>
      <c r="G585" s="2"/>
      <c r="H585" s="2"/>
      <c r="I585" s="2"/>
      <c r="J585" s="2"/>
      <c r="K585" s="2"/>
      <c r="L585" s="2"/>
      <c r="M585" s="2"/>
      <c r="N585" s="2"/>
      <c r="O585" s="2"/>
    </row>
    <row r="586" spans="2:15" ht="14">
      <c r="B586" s="17"/>
      <c r="C586" s="2"/>
      <c r="D586" s="2"/>
      <c r="E586" s="14"/>
      <c r="F586" s="2"/>
      <c r="G586" s="2"/>
      <c r="H586" s="2"/>
      <c r="I586" s="2"/>
      <c r="J586" s="2"/>
      <c r="K586" s="2"/>
      <c r="L586" s="2"/>
      <c r="M586" s="2"/>
      <c r="N586" s="2"/>
      <c r="O586" s="2"/>
    </row>
    <row r="587" spans="2:15" ht="14">
      <c r="B587" s="17"/>
      <c r="C587" s="2"/>
      <c r="D587" s="2"/>
      <c r="E587" s="14"/>
      <c r="F587" s="2"/>
      <c r="G587" s="2"/>
      <c r="H587" s="2"/>
      <c r="I587" s="2"/>
      <c r="J587" s="2"/>
      <c r="K587" s="2"/>
      <c r="L587" s="2"/>
      <c r="M587" s="2"/>
      <c r="N587" s="2"/>
      <c r="O587" s="2"/>
    </row>
    <row r="588" spans="2:15" ht="14">
      <c r="B588" s="17"/>
      <c r="C588" s="2"/>
      <c r="D588" s="2"/>
      <c r="E588" s="14"/>
      <c r="F588" s="2"/>
      <c r="G588" s="2"/>
      <c r="H588" s="2"/>
      <c r="I588" s="2"/>
      <c r="J588" s="2"/>
      <c r="K588" s="2"/>
      <c r="L588" s="2"/>
      <c r="M588" s="2"/>
      <c r="N588" s="2"/>
      <c r="O588" s="2"/>
    </row>
    <row r="589" spans="2:15" ht="14">
      <c r="B589" s="17"/>
      <c r="C589" s="2"/>
      <c r="D589" s="2"/>
      <c r="E589" s="14"/>
      <c r="F589" s="2"/>
      <c r="G589" s="2"/>
      <c r="H589" s="2"/>
      <c r="I589" s="2"/>
      <c r="J589" s="2"/>
      <c r="K589" s="2"/>
      <c r="L589" s="2"/>
      <c r="M589" s="2"/>
      <c r="N589" s="2"/>
      <c r="O589" s="2"/>
    </row>
    <row r="590" spans="2:15" ht="14">
      <c r="B590" s="17"/>
      <c r="C590" s="2"/>
      <c r="D590" s="2"/>
      <c r="E590" s="14"/>
      <c r="F590" s="2"/>
      <c r="G590" s="2"/>
      <c r="H590" s="2"/>
      <c r="I590" s="2"/>
      <c r="J590" s="2"/>
      <c r="K590" s="2"/>
      <c r="L590" s="2"/>
      <c r="M590" s="2"/>
      <c r="N590" s="2"/>
      <c r="O590" s="2"/>
    </row>
    <row r="591" spans="2:15" ht="14">
      <c r="B591" s="17"/>
      <c r="C591" s="2"/>
      <c r="D591" s="2"/>
      <c r="E591" s="14"/>
      <c r="F591" s="2"/>
      <c r="G591" s="2"/>
      <c r="H591" s="2"/>
      <c r="I591" s="2"/>
      <c r="J591" s="2"/>
      <c r="K591" s="2"/>
      <c r="L591" s="2"/>
      <c r="M591" s="2"/>
      <c r="N591" s="2"/>
      <c r="O591" s="2"/>
    </row>
    <row r="592" spans="2:15" ht="14">
      <c r="B592" s="17"/>
      <c r="C592" s="2"/>
      <c r="D592" s="2"/>
      <c r="E592" s="14"/>
      <c r="F592" s="2"/>
      <c r="G592" s="2"/>
      <c r="H592" s="2"/>
      <c r="I592" s="2"/>
      <c r="J592" s="2"/>
      <c r="K592" s="2"/>
      <c r="L592" s="2"/>
      <c r="M592" s="2"/>
      <c r="N592" s="2"/>
      <c r="O592" s="2"/>
    </row>
    <row r="593" spans="2:15" ht="14">
      <c r="B593" s="17"/>
      <c r="C593" s="2"/>
      <c r="D593" s="2"/>
      <c r="E593" s="14"/>
      <c r="F593" s="2"/>
      <c r="G593" s="2"/>
      <c r="H593" s="2"/>
      <c r="I593" s="2"/>
      <c r="J593" s="2"/>
      <c r="K593" s="2"/>
      <c r="L593" s="2"/>
      <c r="M593" s="2"/>
      <c r="N593" s="2"/>
      <c r="O593" s="2"/>
    </row>
    <row r="594" spans="2:15" ht="14">
      <c r="B594" s="17"/>
      <c r="C594" s="2"/>
      <c r="D594" s="2"/>
      <c r="E594" s="14"/>
      <c r="F594" s="2"/>
      <c r="G594" s="2"/>
      <c r="H594" s="2"/>
      <c r="I594" s="2"/>
      <c r="J594" s="2"/>
      <c r="K594" s="2"/>
      <c r="L594" s="2"/>
      <c r="M594" s="2"/>
      <c r="N594" s="2"/>
      <c r="O594" s="2"/>
    </row>
    <row r="595" spans="2:15" ht="14">
      <c r="B595" s="17"/>
      <c r="C595" s="2"/>
      <c r="D595" s="2"/>
      <c r="E595" s="14"/>
      <c r="F595" s="2"/>
      <c r="G595" s="2"/>
      <c r="H595" s="2"/>
      <c r="I595" s="2"/>
      <c r="J595" s="2"/>
      <c r="K595" s="2"/>
      <c r="L595" s="2"/>
      <c r="M595" s="2"/>
      <c r="N595" s="2"/>
      <c r="O595" s="2"/>
    </row>
    <row r="596" spans="2:15" ht="14">
      <c r="B596" s="17"/>
      <c r="C596" s="2"/>
      <c r="D596" s="2"/>
      <c r="E596" s="14"/>
      <c r="F596" s="2"/>
      <c r="G596" s="2"/>
      <c r="H596" s="2"/>
      <c r="I596" s="2"/>
      <c r="J596" s="2"/>
      <c r="K596" s="2"/>
      <c r="L596" s="2"/>
      <c r="M596" s="2"/>
      <c r="N596" s="2"/>
      <c r="O596" s="2"/>
    </row>
    <row r="597" spans="2:15" ht="14">
      <c r="B597" s="17"/>
      <c r="C597" s="2"/>
      <c r="D597" s="2"/>
      <c r="E597" s="14"/>
      <c r="F597" s="2"/>
      <c r="G597" s="2"/>
      <c r="H597" s="2"/>
      <c r="I597" s="2"/>
      <c r="J597" s="2"/>
      <c r="K597" s="2"/>
      <c r="L597" s="2"/>
      <c r="M597" s="2"/>
      <c r="N597" s="2"/>
      <c r="O597" s="2"/>
    </row>
    <row r="598" spans="2:15" ht="14">
      <c r="B598" s="17"/>
      <c r="C598" s="2"/>
      <c r="D598" s="2"/>
      <c r="E598" s="14"/>
      <c r="F598" s="2"/>
      <c r="G598" s="2"/>
      <c r="H598" s="2"/>
      <c r="I598" s="2"/>
      <c r="J598" s="2"/>
      <c r="K598" s="2"/>
      <c r="L598" s="2"/>
      <c r="M598" s="2"/>
      <c r="N598" s="2"/>
      <c r="O598" s="2"/>
    </row>
    <row r="599" spans="2:15" ht="14">
      <c r="B599" s="17"/>
      <c r="C599" s="2"/>
      <c r="D599" s="2"/>
      <c r="E599" s="14"/>
      <c r="F599" s="2"/>
      <c r="G599" s="2"/>
      <c r="H599" s="2"/>
      <c r="I599" s="2"/>
      <c r="J599" s="2"/>
      <c r="K599" s="2"/>
      <c r="L599" s="2"/>
      <c r="M599" s="2"/>
      <c r="N599" s="2"/>
      <c r="O599" s="2"/>
    </row>
    <row r="600" spans="2:15" ht="14">
      <c r="B600" s="17"/>
      <c r="C600" s="2"/>
      <c r="D600" s="2"/>
      <c r="E600" s="14"/>
      <c r="F600" s="2"/>
      <c r="G600" s="2"/>
      <c r="H600" s="2"/>
      <c r="I600" s="2"/>
      <c r="J600" s="2"/>
      <c r="K600" s="2"/>
      <c r="L600" s="2"/>
      <c r="M600" s="2"/>
      <c r="N600" s="2"/>
      <c r="O600" s="2"/>
    </row>
    <row r="601" spans="2:15" ht="14">
      <c r="B601" s="17"/>
      <c r="C601" s="2"/>
      <c r="D601" s="2"/>
      <c r="E601" s="14"/>
      <c r="F601" s="2"/>
      <c r="G601" s="2"/>
      <c r="H601" s="2"/>
      <c r="I601" s="2"/>
      <c r="J601" s="2"/>
      <c r="K601" s="2"/>
      <c r="L601" s="2"/>
      <c r="M601" s="2"/>
      <c r="N601" s="2"/>
      <c r="O601" s="2"/>
    </row>
    <row r="602" spans="2:15" ht="14">
      <c r="B602" s="17"/>
      <c r="C602" s="2"/>
      <c r="D602" s="2"/>
      <c r="E602" s="14"/>
      <c r="F602" s="2"/>
      <c r="G602" s="2"/>
      <c r="H602" s="2"/>
      <c r="I602" s="2"/>
      <c r="J602" s="2"/>
      <c r="K602" s="2"/>
      <c r="L602" s="2"/>
      <c r="M602" s="2"/>
      <c r="N602" s="2"/>
      <c r="O602" s="2"/>
    </row>
    <row r="603" spans="2:15" ht="14">
      <c r="B603" s="17"/>
      <c r="C603" s="2"/>
      <c r="D603" s="2"/>
      <c r="E603" s="14"/>
      <c r="F603" s="2"/>
      <c r="G603" s="2"/>
      <c r="H603" s="2"/>
      <c r="I603" s="2"/>
      <c r="J603" s="2"/>
      <c r="K603" s="2"/>
      <c r="L603" s="2"/>
      <c r="M603" s="2"/>
      <c r="N603" s="2"/>
      <c r="O603" s="2"/>
    </row>
    <row r="604" spans="2:15" ht="14">
      <c r="B604" s="17"/>
      <c r="C604" s="2"/>
      <c r="D604" s="2"/>
      <c r="E604" s="14"/>
      <c r="F604" s="2"/>
      <c r="G604" s="2"/>
      <c r="H604" s="2"/>
      <c r="I604" s="2"/>
      <c r="J604" s="2"/>
      <c r="K604" s="2"/>
      <c r="L604" s="2"/>
      <c r="M604" s="2"/>
      <c r="N604" s="2"/>
      <c r="O604" s="2"/>
    </row>
    <row r="605" spans="2:15" ht="14">
      <c r="B605" s="17"/>
      <c r="C605" s="2"/>
      <c r="D605" s="2"/>
      <c r="E605" s="14"/>
      <c r="F605" s="2"/>
      <c r="G605" s="2"/>
      <c r="H605" s="2"/>
      <c r="I605" s="2"/>
      <c r="J605" s="2"/>
      <c r="K605" s="2"/>
      <c r="L605" s="2"/>
      <c r="M605" s="2"/>
      <c r="N605" s="2"/>
      <c r="O605" s="2"/>
    </row>
    <row r="606" spans="2:15" ht="14">
      <c r="B606" s="17"/>
      <c r="C606" s="2"/>
      <c r="D606" s="2"/>
      <c r="E606" s="14"/>
      <c r="F606" s="2"/>
      <c r="G606" s="2"/>
      <c r="H606" s="2"/>
      <c r="I606" s="2"/>
      <c r="J606" s="2"/>
      <c r="K606" s="2"/>
      <c r="L606" s="2"/>
      <c r="M606" s="2"/>
      <c r="N606" s="2"/>
      <c r="O606" s="2"/>
    </row>
    <row r="607" spans="2:15" ht="14">
      <c r="B607" s="17"/>
      <c r="C607" s="2"/>
      <c r="D607" s="2"/>
      <c r="E607" s="14"/>
      <c r="F607" s="2"/>
      <c r="G607" s="2"/>
      <c r="H607" s="2"/>
      <c r="I607" s="2"/>
      <c r="J607" s="2"/>
      <c r="K607" s="2"/>
      <c r="L607" s="2"/>
      <c r="M607" s="2"/>
      <c r="N607" s="2"/>
      <c r="O607" s="2"/>
    </row>
    <row r="608" spans="2:15" ht="14">
      <c r="B608" s="17"/>
      <c r="C608" s="2"/>
      <c r="D608" s="2"/>
      <c r="E608" s="14"/>
      <c r="F608" s="2"/>
      <c r="G608" s="2"/>
      <c r="H608" s="2"/>
      <c r="I608" s="2"/>
      <c r="J608" s="2"/>
      <c r="K608" s="2"/>
      <c r="L608" s="2"/>
      <c r="M608" s="2"/>
      <c r="N608" s="2"/>
      <c r="O608" s="2"/>
    </row>
    <row r="609" spans="2:15" ht="14">
      <c r="B609" s="17"/>
      <c r="C609" s="2"/>
      <c r="D609" s="2"/>
      <c r="E609" s="14"/>
      <c r="F609" s="2"/>
      <c r="G609" s="2"/>
      <c r="H609" s="2"/>
      <c r="I609" s="2"/>
      <c r="J609" s="2"/>
      <c r="K609" s="2"/>
      <c r="L609" s="2"/>
      <c r="M609" s="2"/>
      <c r="N609" s="2"/>
      <c r="O609" s="2"/>
    </row>
    <row r="610" spans="2:15" ht="14">
      <c r="B610" s="17"/>
      <c r="C610" s="2"/>
      <c r="D610" s="2"/>
      <c r="E610" s="14"/>
      <c r="F610" s="2"/>
      <c r="G610" s="2"/>
      <c r="H610" s="2"/>
      <c r="I610" s="2"/>
      <c r="J610" s="2"/>
      <c r="K610" s="2"/>
      <c r="L610" s="2"/>
      <c r="M610" s="2"/>
      <c r="N610" s="2"/>
      <c r="O610" s="2"/>
    </row>
    <row r="611" spans="2:15" ht="14">
      <c r="B611" s="17"/>
      <c r="C611" s="2"/>
      <c r="D611" s="2"/>
      <c r="E611" s="14"/>
      <c r="F611" s="2"/>
      <c r="G611" s="2"/>
      <c r="H611" s="2"/>
      <c r="I611" s="2"/>
      <c r="J611" s="2"/>
      <c r="K611" s="2"/>
      <c r="L611" s="2"/>
      <c r="M611" s="2"/>
      <c r="N611" s="2"/>
      <c r="O611" s="2"/>
    </row>
    <row r="612" spans="2:15" ht="14">
      <c r="B612" s="17"/>
      <c r="C612" s="2"/>
      <c r="D612" s="2"/>
      <c r="E612" s="14"/>
      <c r="F612" s="2"/>
      <c r="G612" s="2"/>
      <c r="H612" s="2"/>
      <c r="I612" s="2"/>
      <c r="J612" s="2"/>
      <c r="K612" s="2"/>
      <c r="L612" s="2"/>
      <c r="M612" s="2"/>
      <c r="N612" s="2"/>
      <c r="O612" s="2"/>
    </row>
    <row r="613" spans="2:15" ht="14">
      <c r="B613" s="17"/>
      <c r="C613" s="2"/>
      <c r="D613" s="2"/>
      <c r="E613" s="14"/>
      <c r="F613" s="2"/>
      <c r="G613" s="2"/>
      <c r="H613" s="2"/>
      <c r="I613" s="2"/>
      <c r="J613" s="2"/>
      <c r="K613" s="2"/>
      <c r="L613" s="2"/>
      <c r="M613" s="2"/>
      <c r="N613" s="2"/>
      <c r="O613" s="2"/>
    </row>
    <row r="614" spans="2:15" ht="14">
      <c r="B614" s="17"/>
      <c r="C614" s="2"/>
      <c r="D614" s="2"/>
      <c r="E614" s="14"/>
      <c r="F614" s="2"/>
      <c r="G614" s="2"/>
      <c r="H614" s="2"/>
      <c r="I614" s="2"/>
      <c r="J614" s="2"/>
      <c r="K614" s="2"/>
      <c r="L614" s="2"/>
      <c r="M614" s="2"/>
      <c r="N614" s="2"/>
      <c r="O614" s="2"/>
    </row>
    <row r="615" spans="2:15" ht="14">
      <c r="B615" s="17"/>
      <c r="C615" s="2"/>
      <c r="D615" s="2"/>
      <c r="E615" s="14"/>
      <c r="F615" s="2"/>
      <c r="G615" s="2"/>
      <c r="H615" s="2"/>
      <c r="I615" s="2"/>
      <c r="J615" s="2"/>
      <c r="K615" s="2"/>
      <c r="L615" s="2"/>
      <c r="M615" s="2"/>
      <c r="N615" s="2"/>
      <c r="O615" s="2"/>
    </row>
    <row r="616" spans="2:15" ht="14">
      <c r="B616" s="17"/>
      <c r="C616" s="2"/>
      <c r="D616" s="2"/>
      <c r="E616" s="14"/>
      <c r="F616" s="2"/>
      <c r="G616" s="2"/>
      <c r="H616" s="2"/>
      <c r="I616" s="2"/>
      <c r="J616" s="2"/>
      <c r="K616" s="2"/>
      <c r="L616" s="2"/>
      <c r="M616" s="2"/>
      <c r="N616" s="2"/>
      <c r="O616" s="2"/>
    </row>
    <row r="617" spans="2:15" ht="14">
      <c r="B617" s="17"/>
      <c r="C617" s="2"/>
      <c r="D617" s="2"/>
      <c r="E617" s="14"/>
      <c r="F617" s="2"/>
      <c r="G617" s="2"/>
      <c r="H617" s="2"/>
      <c r="I617" s="2"/>
      <c r="J617" s="2"/>
      <c r="K617" s="2"/>
      <c r="L617" s="2"/>
      <c r="M617" s="2"/>
      <c r="N617" s="2"/>
      <c r="O617" s="2"/>
    </row>
    <row r="618" spans="2:15" ht="14">
      <c r="B618" s="17"/>
      <c r="C618" s="2"/>
      <c r="D618" s="2"/>
      <c r="E618" s="14"/>
      <c r="F618" s="2"/>
      <c r="G618" s="2"/>
      <c r="H618" s="2"/>
      <c r="I618" s="2"/>
      <c r="J618" s="2"/>
      <c r="K618" s="2"/>
      <c r="L618" s="2"/>
      <c r="M618" s="2"/>
      <c r="N618" s="2"/>
      <c r="O618" s="2"/>
    </row>
    <row r="619" spans="2:15" ht="14">
      <c r="B619" s="17"/>
      <c r="C619" s="2"/>
      <c r="D619" s="2"/>
      <c r="E619" s="14"/>
      <c r="F619" s="2"/>
      <c r="G619" s="2"/>
      <c r="H619" s="2"/>
      <c r="I619" s="2"/>
      <c r="J619" s="2"/>
      <c r="K619" s="2"/>
      <c r="L619" s="2"/>
      <c r="M619" s="2"/>
      <c r="N619" s="2"/>
      <c r="O619" s="2"/>
    </row>
    <row r="620" spans="2:15" ht="14">
      <c r="B620" s="17"/>
      <c r="C620" s="2"/>
      <c r="D620" s="2"/>
      <c r="E620" s="14"/>
      <c r="F620" s="2"/>
      <c r="G620" s="2"/>
      <c r="H620" s="2"/>
      <c r="I620" s="2"/>
      <c r="J620" s="2"/>
      <c r="K620" s="2"/>
      <c r="L620" s="2"/>
      <c r="M620" s="2"/>
      <c r="N620" s="2"/>
      <c r="O620" s="2"/>
    </row>
    <row r="621" spans="2:15" ht="14">
      <c r="B621" s="17"/>
      <c r="C621" s="2"/>
      <c r="D621" s="2"/>
      <c r="E621" s="14"/>
      <c r="F621" s="2"/>
      <c r="G621" s="2"/>
      <c r="H621" s="2"/>
      <c r="I621" s="2"/>
      <c r="J621" s="2"/>
      <c r="K621" s="2"/>
      <c r="L621" s="2"/>
      <c r="M621" s="2"/>
      <c r="N621" s="2"/>
      <c r="O621" s="2"/>
    </row>
    <row r="622" spans="2:15" ht="14">
      <c r="B622" s="17"/>
      <c r="C622" s="2"/>
      <c r="D622" s="2"/>
      <c r="E622" s="14"/>
      <c r="F622" s="2"/>
      <c r="G622" s="2"/>
      <c r="H622" s="2"/>
      <c r="I622" s="2"/>
      <c r="J622" s="2"/>
      <c r="K622" s="2"/>
      <c r="L622" s="2"/>
      <c r="M622" s="2"/>
      <c r="N622" s="2"/>
      <c r="O622" s="2"/>
    </row>
    <row r="623" spans="2:15" ht="14">
      <c r="B623" s="17"/>
      <c r="C623" s="2"/>
      <c r="D623" s="2"/>
      <c r="E623" s="14"/>
      <c r="F623" s="2"/>
      <c r="G623" s="2"/>
      <c r="H623" s="2"/>
      <c r="I623" s="2"/>
      <c r="J623" s="2"/>
      <c r="K623" s="2"/>
      <c r="L623" s="2"/>
      <c r="M623" s="2"/>
      <c r="N623" s="2"/>
      <c r="O623" s="2"/>
    </row>
    <row r="624" spans="2:15" ht="14">
      <c r="B624" s="17"/>
      <c r="C624" s="2"/>
      <c r="D624" s="2"/>
      <c r="E624" s="14"/>
      <c r="F624" s="2"/>
      <c r="G624" s="2"/>
      <c r="H624" s="2"/>
      <c r="I624" s="2"/>
      <c r="J624" s="2"/>
      <c r="K624" s="2"/>
      <c r="L624" s="2"/>
      <c r="M624" s="2"/>
      <c r="N624" s="2"/>
      <c r="O624" s="2"/>
    </row>
    <row r="625" spans="2:15" ht="14">
      <c r="B625" s="17"/>
      <c r="C625" s="2"/>
      <c r="D625" s="2"/>
      <c r="E625" s="14"/>
      <c r="F625" s="2"/>
      <c r="G625" s="2"/>
      <c r="H625" s="2"/>
      <c r="I625" s="2"/>
      <c r="J625" s="2"/>
      <c r="K625" s="2"/>
      <c r="L625" s="2"/>
      <c r="M625" s="2"/>
      <c r="N625" s="2"/>
      <c r="O625" s="2"/>
    </row>
    <row r="626" spans="2:15" ht="14">
      <c r="B626" s="17"/>
      <c r="C626" s="2"/>
      <c r="D626" s="2"/>
      <c r="E626" s="14"/>
      <c r="F626" s="2"/>
      <c r="G626" s="2"/>
      <c r="H626" s="2"/>
      <c r="I626" s="2"/>
      <c r="J626" s="2"/>
      <c r="K626" s="2"/>
      <c r="L626" s="2"/>
      <c r="M626" s="2"/>
      <c r="N626" s="2"/>
      <c r="O626" s="2"/>
    </row>
    <row r="627" spans="2:15" ht="14">
      <c r="B627" s="17"/>
      <c r="C627" s="2"/>
      <c r="D627" s="2"/>
      <c r="E627" s="14"/>
      <c r="F627" s="2"/>
      <c r="G627" s="2"/>
      <c r="H627" s="2"/>
      <c r="I627" s="2"/>
      <c r="J627" s="2"/>
      <c r="K627" s="2"/>
      <c r="L627" s="2"/>
      <c r="M627" s="2"/>
      <c r="N627" s="2"/>
      <c r="O627" s="2"/>
    </row>
    <row r="628" spans="2:15" ht="14">
      <c r="B628" s="17"/>
      <c r="C628" s="2"/>
      <c r="D628" s="2"/>
      <c r="E628" s="14"/>
      <c r="F628" s="2"/>
      <c r="G628" s="2"/>
      <c r="H628" s="2"/>
      <c r="I628" s="2"/>
      <c r="J628" s="2"/>
      <c r="K628" s="2"/>
      <c r="L628" s="2"/>
      <c r="M628" s="2"/>
      <c r="N628" s="2"/>
      <c r="O628" s="2"/>
    </row>
    <row r="629" spans="2:15" ht="14">
      <c r="B629" s="17"/>
      <c r="C629" s="2"/>
      <c r="D629" s="2"/>
      <c r="E629" s="14"/>
      <c r="F629" s="2"/>
      <c r="G629" s="2"/>
      <c r="H629" s="2"/>
      <c r="I629" s="2"/>
      <c r="J629" s="2"/>
      <c r="K629" s="2"/>
      <c r="L629" s="2"/>
      <c r="M629" s="2"/>
      <c r="N629" s="2"/>
      <c r="O629" s="2"/>
    </row>
    <row r="630" spans="2:15" ht="14">
      <c r="B630" s="17"/>
      <c r="C630" s="2"/>
      <c r="D630" s="2"/>
      <c r="E630" s="14"/>
      <c r="F630" s="2"/>
      <c r="G630" s="2"/>
      <c r="H630" s="2"/>
      <c r="I630" s="2"/>
      <c r="J630" s="2"/>
      <c r="K630" s="2"/>
      <c r="L630" s="2"/>
      <c r="M630" s="2"/>
      <c r="N630" s="2"/>
      <c r="O630" s="2"/>
    </row>
    <row r="631" spans="2:15" ht="14">
      <c r="B631" s="17"/>
      <c r="C631" s="2"/>
      <c r="D631" s="2"/>
      <c r="E631" s="14"/>
      <c r="F631" s="2"/>
      <c r="G631" s="2"/>
      <c r="H631" s="2"/>
      <c r="I631" s="2"/>
      <c r="J631" s="2"/>
      <c r="K631" s="2"/>
      <c r="L631" s="2"/>
      <c r="M631" s="2"/>
      <c r="N631" s="2"/>
      <c r="O631" s="2"/>
    </row>
    <row r="632" spans="2:15" ht="14">
      <c r="B632" s="17"/>
      <c r="C632" s="2"/>
      <c r="D632" s="2"/>
      <c r="E632" s="14"/>
      <c r="F632" s="2"/>
      <c r="G632" s="2"/>
      <c r="H632" s="2"/>
      <c r="I632" s="2"/>
      <c r="J632" s="2"/>
      <c r="K632" s="2"/>
      <c r="L632" s="2"/>
      <c r="M632" s="2"/>
      <c r="N632" s="2"/>
      <c r="O632" s="2"/>
    </row>
    <row r="633" spans="2:15" ht="14">
      <c r="B633" s="17"/>
      <c r="C633" s="2"/>
      <c r="D633" s="2"/>
      <c r="E633" s="14"/>
      <c r="F633" s="2"/>
      <c r="G633" s="2"/>
      <c r="H633" s="2"/>
      <c r="I633" s="2"/>
      <c r="J633" s="2"/>
      <c r="K633" s="2"/>
      <c r="L633" s="2"/>
      <c r="M633" s="2"/>
      <c r="N633" s="2"/>
      <c r="O633" s="2"/>
    </row>
    <row r="634" spans="2:15" ht="14">
      <c r="B634" s="17"/>
      <c r="C634" s="2"/>
      <c r="D634" s="2"/>
      <c r="E634" s="14"/>
      <c r="F634" s="2"/>
      <c r="G634" s="2"/>
      <c r="H634" s="2"/>
      <c r="I634" s="2"/>
      <c r="J634" s="2"/>
      <c r="K634" s="2"/>
      <c r="L634" s="2"/>
      <c r="M634" s="2"/>
      <c r="N634" s="2"/>
      <c r="O634" s="2"/>
    </row>
    <row r="635" spans="2:15" ht="14">
      <c r="B635" s="17"/>
      <c r="C635" s="2"/>
      <c r="D635" s="2"/>
      <c r="E635" s="14"/>
      <c r="F635" s="2"/>
      <c r="G635" s="2"/>
      <c r="H635" s="2"/>
      <c r="I635" s="2"/>
      <c r="J635" s="2"/>
      <c r="K635" s="2"/>
      <c r="L635" s="2"/>
      <c r="M635" s="2"/>
      <c r="N635" s="2"/>
      <c r="O635" s="2"/>
    </row>
    <row r="636" spans="2:15" ht="14">
      <c r="B636" s="17"/>
      <c r="C636" s="2"/>
      <c r="D636" s="2"/>
      <c r="E636" s="14"/>
      <c r="F636" s="2"/>
      <c r="G636" s="2"/>
      <c r="H636" s="2"/>
      <c r="I636" s="2"/>
      <c r="J636" s="2"/>
      <c r="K636" s="2"/>
      <c r="L636" s="2"/>
      <c r="M636" s="2"/>
      <c r="N636" s="2"/>
      <c r="O636" s="2"/>
    </row>
    <row r="637" spans="2:15" ht="14">
      <c r="B637" s="17"/>
      <c r="C637" s="2"/>
      <c r="D637" s="2"/>
      <c r="E637" s="14"/>
      <c r="F637" s="2"/>
      <c r="G637" s="2"/>
      <c r="H637" s="2"/>
      <c r="I637" s="2"/>
      <c r="J637" s="2"/>
      <c r="K637" s="2"/>
      <c r="L637" s="2"/>
      <c r="M637" s="2"/>
      <c r="N637" s="2"/>
      <c r="O637" s="2"/>
    </row>
    <row r="638" spans="2:15" ht="14">
      <c r="B638" s="17"/>
      <c r="C638" s="2"/>
      <c r="D638" s="2"/>
      <c r="E638" s="14"/>
      <c r="F638" s="2"/>
      <c r="G638" s="2"/>
      <c r="H638" s="2"/>
      <c r="I638" s="2"/>
      <c r="J638" s="2"/>
      <c r="K638" s="2"/>
      <c r="L638" s="2"/>
      <c r="M638" s="2"/>
      <c r="N638" s="2"/>
      <c r="O638" s="2"/>
    </row>
    <row r="639" spans="2:15" ht="14">
      <c r="B639" s="17"/>
      <c r="C639" s="2"/>
      <c r="D639" s="2"/>
      <c r="E639" s="14"/>
      <c r="F639" s="2"/>
      <c r="G639" s="2"/>
      <c r="H639" s="2"/>
      <c r="I639" s="2"/>
      <c r="J639" s="2"/>
      <c r="K639" s="2"/>
      <c r="L639" s="2"/>
      <c r="M639" s="2"/>
      <c r="N639" s="2"/>
      <c r="O639" s="2"/>
    </row>
    <row r="640" spans="2:15" ht="14">
      <c r="B640" s="17"/>
      <c r="C640" s="2"/>
      <c r="D640" s="2"/>
      <c r="E640" s="14"/>
      <c r="F640" s="2"/>
      <c r="G640" s="2"/>
      <c r="H640" s="2"/>
      <c r="I640" s="2"/>
      <c r="J640" s="2"/>
      <c r="K640" s="2"/>
      <c r="L640" s="2"/>
      <c r="M640" s="2"/>
      <c r="N640" s="2"/>
      <c r="O640" s="2"/>
    </row>
    <row r="641" spans="2:15" ht="14">
      <c r="B641" s="17"/>
      <c r="C641" s="2"/>
      <c r="D641" s="2"/>
      <c r="E641" s="14"/>
      <c r="F641" s="2"/>
      <c r="G641" s="2"/>
      <c r="H641" s="2"/>
      <c r="I641" s="2"/>
      <c r="J641" s="2"/>
      <c r="K641" s="2"/>
      <c r="L641" s="2"/>
      <c r="M641" s="2"/>
      <c r="N641" s="2"/>
      <c r="O641" s="2"/>
    </row>
    <row r="642" spans="2:15" ht="14">
      <c r="B642" s="17"/>
      <c r="C642" s="2"/>
      <c r="D642" s="2"/>
      <c r="E642" s="14"/>
      <c r="F642" s="2"/>
      <c r="G642" s="2"/>
      <c r="H642" s="2"/>
      <c r="I642" s="2"/>
      <c r="J642" s="2"/>
      <c r="K642" s="2"/>
      <c r="L642" s="2"/>
      <c r="M642" s="2"/>
      <c r="N642" s="2"/>
      <c r="O642" s="2"/>
    </row>
    <row r="643" spans="2:15" ht="14">
      <c r="B643" s="17"/>
      <c r="C643" s="2"/>
      <c r="D643" s="2"/>
      <c r="E643" s="14"/>
      <c r="F643" s="2"/>
      <c r="G643" s="2"/>
      <c r="H643" s="2"/>
      <c r="I643" s="2"/>
      <c r="J643" s="2"/>
      <c r="K643" s="2"/>
      <c r="L643" s="2"/>
      <c r="M643" s="2"/>
      <c r="N643" s="2"/>
      <c r="O643" s="2"/>
    </row>
    <row r="644" spans="2:15" ht="14">
      <c r="B644" s="17"/>
      <c r="C644" s="2"/>
      <c r="D644" s="2"/>
      <c r="E644" s="14"/>
      <c r="F644" s="2"/>
      <c r="G644" s="2"/>
      <c r="H644" s="2"/>
      <c r="I644" s="2"/>
      <c r="J644" s="2"/>
      <c r="K644" s="2"/>
      <c r="L644" s="2"/>
      <c r="M644" s="2"/>
      <c r="N644" s="2"/>
      <c r="O644" s="2"/>
    </row>
    <row r="645" spans="2:15" ht="14">
      <c r="B645" s="17"/>
      <c r="C645" s="2"/>
      <c r="D645" s="2"/>
      <c r="E645" s="14"/>
      <c r="F645" s="2"/>
      <c r="G645" s="2"/>
      <c r="H645" s="2"/>
      <c r="I645" s="2"/>
      <c r="J645" s="2"/>
      <c r="K645" s="2"/>
      <c r="L645" s="2"/>
      <c r="M645" s="2"/>
      <c r="N645" s="2"/>
      <c r="O645" s="2"/>
    </row>
    <row r="646" spans="2:15" ht="14">
      <c r="B646" s="17"/>
      <c r="C646" s="2"/>
      <c r="D646" s="2"/>
      <c r="E646" s="14"/>
      <c r="F646" s="2"/>
      <c r="G646" s="2"/>
      <c r="H646" s="2"/>
      <c r="I646" s="2"/>
      <c r="J646" s="2"/>
      <c r="K646" s="2"/>
      <c r="L646" s="2"/>
      <c r="M646" s="2"/>
      <c r="N646" s="2"/>
      <c r="O646" s="2"/>
    </row>
    <row r="647" spans="2:15" ht="14">
      <c r="B647" s="17"/>
      <c r="C647" s="2"/>
      <c r="D647" s="2"/>
      <c r="E647" s="14"/>
      <c r="F647" s="2"/>
      <c r="G647" s="2"/>
      <c r="H647" s="2"/>
      <c r="I647" s="2"/>
      <c r="J647" s="2"/>
      <c r="K647" s="2"/>
      <c r="L647" s="2"/>
      <c r="M647" s="2"/>
      <c r="N647" s="2"/>
      <c r="O647" s="2"/>
    </row>
    <row r="648" spans="2:15" ht="14">
      <c r="B648" s="17"/>
      <c r="C648" s="2"/>
      <c r="D648" s="2"/>
      <c r="E648" s="14"/>
      <c r="F648" s="2"/>
      <c r="G648" s="2"/>
      <c r="H648" s="2"/>
      <c r="I648" s="2"/>
      <c r="J648" s="2"/>
      <c r="K648" s="2"/>
      <c r="L648" s="2"/>
      <c r="M648" s="2"/>
      <c r="N648" s="2"/>
      <c r="O648" s="2"/>
    </row>
    <row r="649" spans="2:15" ht="14">
      <c r="B649" s="17"/>
      <c r="C649" s="2"/>
      <c r="D649" s="2"/>
      <c r="E649" s="14"/>
      <c r="F649" s="2"/>
      <c r="G649" s="2"/>
      <c r="H649" s="2"/>
      <c r="I649" s="2"/>
      <c r="J649" s="2"/>
      <c r="K649" s="2"/>
      <c r="L649" s="2"/>
      <c r="M649" s="2"/>
      <c r="N649" s="2"/>
      <c r="O649" s="2"/>
    </row>
    <row r="650" spans="2:15" ht="14">
      <c r="B650" s="17"/>
      <c r="C650" s="2"/>
      <c r="D650" s="2"/>
      <c r="E650" s="14"/>
      <c r="F650" s="2"/>
      <c r="G650" s="2"/>
      <c r="H650" s="2"/>
      <c r="I650" s="2"/>
      <c r="J650" s="2"/>
      <c r="K650" s="2"/>
      <c r="L650" s="2"/>
      <c r="M650" s="2"/>
      <c r="N650" s="2"/>
      <c r="O650" s="2"/>
    </row>
    <row r="651" spans="2:15" ht="14">
      <c r="B651" s="17"/>
      <c r="C651" s="2"/>
      <c r="D651" s="2"/>
      <c r="E651" s="14"/>
      <c r="F651" s="2"/>
      <c r="G651" s="2"/>
      <c r="H651" s="2"/>
      <c r="I651" s="2"/>
      <c r="J651" s="2"/>
      <c r="K651" s="2"/>
      <c r="L651" s="2"/>
      <c r="M651" s="2"/>
      <c r="N651" s="2"/>
      <c r="O651" s="2"/>
    </row>
    <row r="652" spans="2:15" ht="14">
      <c r="B652" s="17"/>
      <c r="C652" s="2"/>
      <c r="D652" s="2"/>
      <c r="E652" s="14"/>
      <c r="F652" s="2"/>
      <c r="G652" s="2"/>
      <c r="H652" s="2"/>
      <c r="I652" s="2"/>
      <c r="J652" s="2"/>
      <c r="K652" s="2"/>
      <c r="L652" s="2"/>
      <c r="M652" s="2"/>
      <c r="N652" s="2"/>
      <c r="O652" s="2"/>
    </row>
    <row r="653" spans="2:15" ht="14">
      <c r="B653" s="17"/>
      <c r="C653" s="2"/>
      <c r="D653" s="2"/>
      <c r="E653" s="14"/>
      <c r="F653" s="2"/>
      <c r="G653" s="2"/>
      <c r="H653" s="2"/>
      <c r="I653" s="2"/>
      <c r="J653" s="2"/>
      <c r="K653" s="2"/>
      <c r="L653" s="2"/>
      <c r="M653" s="2"/>
      <c r="N653" s="2"/>
      <c r="O653" s="2"/>
    </row>
    <row r="654" spans="2:15" ht="14">
      <c r="B654" s="17"/>
      <c r="C654" s="2"/>
      <c r="D654" s="2"/>
      <c r="E654" s="14"/>
      <c r="F654" s="2"/>
      <c r="G654" s="2"/>
      <c r="H654" s="2"/>
      <c r="I654" s="2"/>
      <c r="J654" s="2"/>
      <c r="K654" s="2"/>
      <c r="L654" s="2"/>
      <c r="M654" s="2"/>
      <c r="N654" s="2"/>
      <c r="O654" s="2"/>
    </row>
    <row r="655" spans="2:15" ht="14">
      <c r="B655" s="17"/>
      <c r="C655" s="2"/>
      <c r="D655" s="2"/>
      <c r="E655" s="14"/>
      <c r="F655" s="2"/>
      <c r="G655" s="2"/>
      <c r="H655" s="2"/>
      <c r="I655" s="2"/>
      <c r="J655" s="2"/>
      <c r="K655" s="2"/>
      <c r="L655" s="2"/>
      <c r="M655" s="2"/>
      <c r="N655" s="2"/>
      <c r="O655" s="2"/>
    </row>
    <row r="656" spans="2:15" ht="14">
      <c r="B656" s="17"/>
      <c r="C656" s="2"/>
      <c r="D656" s="2"/>
      <c r="E656" s="14"/>
      <c r="F656" s="2"/>
      <c r="G656" s="2"/>
      <c r="H656" s="2"/>
      <c r="I656" s="2"/>
      <c r="J656" s="2"/>
      <c r="K656" s="2"/>
      <c r="L656" s="2"/>
      <c r="M656" s="2"/>
      <c r="N656" s="2"/>
      <c r="O656" s="2"/>
    </row>
    <row r="657" spans="2:15" ht="14">
      <c r="B657" s="17"/>
      <c r="C657" s="2"/>
      <c r="D657" s="2"/>
      <c r="E657" s="14"/>
      <c r="F657" s="2"/>
      <c r="G657" s="2"/>
      <c r="H657" s="2"/>
      <c r="I657" s="2"/>
      <c r="J657" s="2"/>
      <c r="K657" s="2"/>
      <c r="L657" s="2"/>
      <c r="M657" s="2"/>
      <c r="N657" s="2"/>
      <c r="O657" s="2"/>
    </row>
    <row r="658" spans="2:15" ht="14">
      <c r="B658" s="17"/>
      <c r="C658" s="2"/>
      <c r="D658" s="2"/>
      <c r="E658" s="14"/>
      <c r="F658" s="2"/>
      <c r="G658" s="2"/>
      <c r="H658" s="2"/>
      <c r="I658" s="2"/>
      <c r="J658" s="2"/>
      <c r="K658" s="2"/>
      <c r="L658" s="2"/>
      <c r="M658" s="2"/>
      <c r="N658" s="2"/>
      <c r="O658" s="2"/>
    </row>
    <row r="659" spans="2:15" ht="14">
      <c r="B659" s="17"/>
      <c r="C659" s="2"/>
      <c r="D659" s="2"/>
      <c r="E659" s="14"/>
      <c r="F659" s="2"/>
      <c r="G659" s="2"/>
      <c r="H659" s="2"/>
      <c r="I659" s="2"/>
      <c r="J659" s="2"/>
      <c r="K659" s="2"/>
      <c r="L659" s="2"/>
      <c r="M659" s="2"/>
      <c r="N659" s="2"/>
      <c r="O659" s="2"/>
    </row>
    <row r="660" spans="2:15" ht="14">
      <c r="B660" s="17"/>
      <c r="C660" s="2"/>
      <c r="D660" s="2"/>
      <c r="E660" s="14"/>
      <c r="F660" s="2"/>
      <c r="G660" s="2"/>
      <c r="H660" s="2"/>
      <c r="I660" s="2"/>
      <c r="J660" s="2"/>
      <c r="K660" s="2"/>
      <c r="L660" s="2"/>
      <c r="M660" s="2"/>
      <c r="N660" s="2"/>
      <c r="O660" s="2"/>
    </row>
    <row r="661" spans="2:15" ht="14">
      <c r="B661" s="17"/>
      <c r="C661" s="2"/>
      <c r="D661" s="2"/>
      <c r="E661" s="14"/>
      <c r="F661" s="2"/>
      <c r="G661" s="2"/>
      <c r="H661" s="2"/>
      <c r="I661" s="2"/>
      <c r="J661" s="2"/>
      <c r="K661" s="2"/>
      <c r="L661" s="2"/>
      <c r="M661" s="2"/>
      <c r="N661" s="2"/>
      <c r="O661" s="2"/>
    </row>
    <row r="662" spans="2:15" ht="14">
      <c r="B662" s="17"/>
      <c r="C662" s="2"/>
      <c r="D662" s="2"/>
      <c r="E662" s="14"/>
      <c r="F662" s="2"/>
      <c r="G662" s="2"/>
      <c r="H662" s="2"/>
      <c r="I662" s="2"/>
      <c r="J662" s="2"/>
      <c r="K662" s="2"/>
      <c r="L662" s="2"/>
      <c r="M662" s="2"/>
      <c r="N662" s="2"/>
      <c r="O662" s="2"/>
    </row>
    <row r="663" spans="2:15" ht="14">
      <c r="B663" s="17"/>
      <c r="C663" s="2"/>
      <c r="D663" s="2"/>
      <c r="E663" s="14"/>
      <c r="F663" s="2"/>
      <c r="G663" s="2"/>
      <c r="H663" s="2"/>
      <c r="I663" s="2"/>
      <c r="J663" s="2"/>
      <c r="K663" s="2"/>
      <c r="L663" s="2"/>
      <c r="M663" s="2"/>
      <c r="N663" s="2"/>
      <c r="O663" s="2"/>
    </row>
    <row r="664" spans="2:15" ht="14">
      <c r="B664" s="17"/>
      <c r="C664" s="2"/>
      <c r="D664" s="2"/>
      <c r="E664" s="14"/>
      <c r="F664" s="2"/>
      <c r="G664" s="2"/>
      <c r="H664" s="2"/>
      <c r="I664" s="2"/>
      <c r="J664" s="2"/>
      <c r="K664" s="2"/>
      <c r="L664" s="2"/>
      <c r="M664" s="2"/>
      <c r="N664" s="2"/>
      <c r="O664" s="2"/>
    </row>
    <row r="665" spans="2:15" ht="14">
      <c r="B665" s="17"/>
      <c r="C665" s="2"/>
      <c r="D665" s="2"/>
      <c r="E665" s="14"/>
      <c r="F665" s="2"/>
      <c r="G665" s="2"/>
      <c r="H665" s="2"/>
      <c r="I665" s="2"/>
      <c r="J665" s="2"/>
      <c r="K665" s="2"/>
      <c r="L665" s="2"/>
      <c r="M665" s="2"/>
      <c r="N665" s="2"/>
      <c r="O665" s="2"/>
    </row>
    <row r="666" spans="2:15" ht="14">
      <c r="B666" s="17"/>
      <c r="C666" s="2"/>
      <c r="D666" s="2"/>
      <c r="E666" s="14"/>
      <c r="F666" s="2"/>
      <c r="G666" s="2"/>
      <c r="H666" s="2"/>
      <c r="I666" s="2"/>
      <c r="J666" s="2"/>
      <c r="K666" s="2"/>
      <c r="L666" s="2"/>
      <c r="M666" s="2"/>
      <c r="N666" s="2"/>
      <c r="O666" s="2"/>
    </row>
    <row r="667" spans="2:15" ht="14">
      <c r="B667" s="17"/>
      <c r="C667" s="2"/>
      <c r="D667" s="2"/>
      <c r="E667" s="14"/>
      <c r="F667" s="2"/>
      <c r="G667" s="2"/>
      <c r="H667" s="2"/>
      <c r="I667" s="2"/>
      <c r="J667" s="2"/>
      <c r="K667" s="2"/>
      <c r="L667" s="2"/>
      <c r="M667" s="2"/>
      <c r="N667" s="2"/>
      <c r="O667" s="2"/>
    </row>
    <row r="668" spans="2:15" ht="14">
      <c r="B668" s="17"/>
      <c r="C668" s="2"/>
      <c r="D668" s="2"/>
      <c r="E668" s="14"/>
      <c r="F668" s="2"/>
      <c r="G668" s="2"/>
      <c r="H668" s="2"/>
      <c r="I668" s="2"/>
      <c r="J668" s="2"/>
      <c r="K668" s="2"/>
      <c r="L668" s="2"/>
      <c r="M668" s="2"/>
      <c r="N668" s="2"/>
      <c r="O668" s="2"/>
    </row>
    <row r="669" spans="2:15" ht="14">
      <c r="B669" s="17"/>
      <c r="C669" s="2"/>
      <c r="D669" s="2"/>
      <c r="E669" s="14"/>
      <c r="F669" s="2"/>
      <c r="G669" s="2"/>
      <c r="H669" s="2"/>
      <c r="I669" s="2"/>
      <c r="J669" s="2"/>
      <c r="K669" s="2"/>
      <c r="L669" s="2"/>
      <c r="M669" s="2"/>
      <c r="N669" s="2"/>
      <c r="O669" s="2"/>
    </row>
    <row r="670" spans="2:15" ht="14">
      <c r="B670" s="17"/>
      <c r="C670" s="2"/>
      <c r="D670" s="2"/>
      <c r="E670" s="14"/>
      <c r="F670" s="2"/>
      <c r="G670" s="2"/>
      <c r="H670" s="2"/>
      <c r="I670" s="2"/>
      <c r="J670" s="2"/>
      <c r="K670" s="2"/>
      <c r="L670" s="2"/>
      <c r="M670" s="2"/>
      <c r="N670" s="2"/>
      <c r="O670" s="2"/>
    </row>
    <row r="671" spans="2:15" ht="14">
      <c r="B671" s="17"/>
      <c r="C671" s="2"/>
      <c r="D671" s="2"/>
      <c r="E671" s="14"/>
      <c r="F671" s="2"/>
      <c r="G671" s="2"/>
      <c r="H671" s="2"/>
      <c r="I671" s="2"/>
      <c r="J671" s="2"/>
      <c r="K671" s="2"/>
      <c r="L671" s="2"/>
      <c r="M671" s="2"/>
      <c r="N671" s="2"/>
      <c r="O671" s="2"/>
    </row>
    <row r="672" spans="2:15" ht="14">
      <c r="B672" s="17"/>
      <c r="C672" s="2"/>
      <c r="D672" s="2"/>
      <c r="E672" s="14"/>
      <c r="F672" s="2"/>
      <c r="G672" s="2"/>
      <c r="H672" s="2"/>
      <c r="I672" s="2"/>
      <c r="J672" s="2"/>
      <c r="K672" s="2"/>
      <c r="L672" s="2"/>
      <c r="M672" s="2"/>
      <c r="N672" s="2"/>
      <c r="O672" s="2"/>
    </row>
    <row r="673" spans="2:15" ht="14">
      <c r="B673" s="17"/>
      <c r="C673" s="2"/>
      <c r="D673" s="2"/>
      <c r="E673" s="14"/>
      <c r="F673" s="2"/>
      <c r="G673" s="2"/>
      <c r="H673" s="2"/>
      <c r="I673" s="2"/>
      <c r="J673" s="2"/>
      <c r="K673" s="2"/>
      <c r="L673" s="2"/>
      <c r="M673" s="2"/>
      <c r="N673" s="2"/>
      <c r="O673" s="2"/>
    </row>
    <row r="674" spans="2:15" ht="14">
      <c r="B674" s="17"/>
      <c r="C674" s="2"/>
      <c r="D674" s="2"/>
      <c r="E674" s="14"/>
      <c r="F674" s="2"/>
      <c r="G674" s="2"/>
      <c r="H674" s="2"/>
      <c r="I674" s="2"/>
      <c r="J674" s="2"/>
      <c r="K674" s="2"/>
      <c r="L674" s="2"/>
      <c r="M674" s="2"/>
      <c r="N674" s="2"/>
      <c r="O674" s="2"/>
    </row>
    <row r="675" spans="2:15" ht="14">
      <c r="B675" s="17"/>
      <c r="C675" s="2"/>
      <c r="D675" s="2"/>
      <c r="E675" s="14"/>
      <c r="F675" s="2"/>
      <c r="G675" s="2"/>
      <c r="H675" s="2"/>
      <c r="I675" s="2"/>
      <c r="J675" s="2"/>
      <c r="K675" s="2"/>
      <c r="L675" s="2"/>
      <c r="M675" s="2"/>
      <c r="N675" s="2"/>
      <c r="O675" s="2"/>
    </row>
    <row r="676" spans="2:15" ht="14">
      <c r="B676" s="17"/>
      <c r="C676" s="2"/>
      <c r="D676" s="2"/>
      <c r="E676" s="14"/>
      <c r="F676" s="2"/>
      <c r="G676" s="2"/>
      <c r="H676" s="2"/>
      <c r="I676" s="2"/>
      <c r="J676" s="2"/>
      <c r="K676" s="2"/>
      <c r="L676" s="2"/>
      <c r="M676" s="2"/>
      <c r="N676" s="2"/>
      <c r="O676" s="2"/>
    </row>
    <row r="677" spans="2:15" ht="14">
      <c r="B677" s="17"/>
      <c r="C677" s="2"/>
      <c r="D677" s="2"/>
      <c r="E677" s="14"/>
      <c r="F677" s="2"/>
      <c r="G677" s="2"/>
      <c r="H677" s="2"/>
      <c r="I677" s="2"/>
      <c r="J677" s="2"/>
      <c r="K677" s="2"/>
      <c r="L677" s="2"/>
      <c r="M677" s="2"/>
      <c r="N677" s="2"/>
      <c r="O677" s="2"/>
    </row>
    <row r="678" spans="2:15" ht="14">
      <c r="B678" s="17"/>
      <c r="C678" s="2"/>
      <c r="D678" s="2"/>
      <c r="E678" s="14"/>
      <c r="F678" s="2"/>
      <c r="G678" s="2"/>
      <c r="H678" s="2"/>
      <c r="I678" s="2"/>
      <c r="J678" s="2"/>
      <c r="K678" s="2"/>
      <c r="L678" s="2"/>
      <c r="M678" s="2"/>
      <c r="N678" s="2"/>
      <c r="O678" s="2"/>
    </row>
    <row r="679" spans="2:15" ht="14">
      <c r="B679" s="17"/>
      <c r="C679" s="2"/>
      <c r="D679" s="2"/>
      <c r="E679" s="14"/>
      <c r="F679" s="2"/>
      <c r="G679" s="2"/>
      <c r="H679" s="2"/>
      <c r="I679" s="2"/>
      <c r="J679" s="2"/>
      <c r="K679" s="2"/>
      <c r="L679" s="2"/>
      <c r="M679" s="2"/>
      <c r="N679" s="2"/>
      <c r="O679" s="2"/>
    </row>
    <row r="680" spans="2:15" ht="14">
      <c r="B680" s="17"/>
      <c r="C680" s="2"/>
      <c r="D680" s="2"/>
      <c r="E680" s="14"/>
      <c r="F680" s="2"/>
      <c r="G680" s="2"/>
      <c r="H680" s="2"/>
      <c r="I680" s="2"/>
      <c r="J680" s="2"/>
      <c r="K680" s="2"/>
      <c r="L680" s="2"/>
      <c r="M680" s="2"/>
      <c r="N680" s="2"/>
      <c r="O680" s="2"/>
    </row>
    <row r="681" spans="2:15" ht="14">
      <c r="B681" s="17"/>
      <c r="C681" s="2"/>
      <c r="D681" s="2"/>
      <c r="E681" s="14"/>
      <c r="F681" s="2"/>
      <c r="G681" s="2"/>
      <c r="H681" s="2"/>
      <c r="I681" s="2"/>
      <c r="J681" s="2"/>
      <c r="K681" s="2"/>
      <c r="L681" s="2"/>
      <c r="M681" s="2"/>
      <c r="N681" s="2"/>
      <c r="O681" s="2"/>
    </row>
    <row r="682" spans="2:15" ht="14">
      <c r="B682" s="17"/>
      <c r="C682" s="2"/>
      <c r="D682" s="2"/>
      <c r="E682" s="14"/>
      <c r="F682" s="2"/>
      <c r="G682" s="2"/>
      <c r="H682" s="2"/>
      <c r="I682" s="2"/>
      <c r="J682" s="2"/>
      <c r="K682" s="2"/>
      <c r="L682" s="2"/>
      <c r="M682" s="2"/>
      <c r="N682" s="2"/>
      <c r="O682" s="2"/>
    </row>
    <row r="683" spans="2:15" ht="14">
      <c r="B683" s="17"/>
      <c r="C683" s="2"/>
      <c r="D683" s="2"/>
      <c r="E683" s="14"/>
      <c r="F683" s="2"/>
      <c r="G683" s="2"/>
      <c r="H683" s="2"/>
      <c r="I683" s="2"/>
      <c r="J683" s="2"/>
      <c r="K683" s="2"/>
      <c r="L683" s="2"/>
      <c r="M683" s="2"/>
      <c r="N683" s="2"/>
      <c r="O683" s="2"/>
    </row>
    <row r="684" spans="2:15" ht="14">
      <c r="B684" s="17"/>
      <c r="C684" s="2"/>
      <c r="D684" s="2"/>
      <c r="E684" s="14"/>
      <c r="F684" s="2"/>
      <c r="G684" s="2"/>
      <c r="H684" s="2"/>
      <c r="I684" s="2"/>
      <c r="J684" s="2"/>
      <c r="K684" s="2"/>
      <c r="L684" s="2"/>
      <c r="M684" s="2"/>
      <c r="N684" s="2"/>
      <c r="O684" s="2"/>
    </row>
    <row r="685" spans="2:15" ht="14">
      <c r="B685" s="17"/>
      <c r="C685" s="2"/>
      <c r="D685" s="2"/>
      <c r="E685" s="14"/>
      <c r="F685" s="2"/>
      <c r="G685" s="2"/>
      <c r="H685" s="2"/>
      <c r="I685" s="2"/>
      <c r="J685" s="2"/>
      <c r="K685" s="2"/>
      <c r="L685" s="2"/>
      <c r="M685" s="2"/>
      <c r="N685" s="2"/>
      <c r="O685" s="2"/>
    </row>
    <row r="686" spans="2:15" ht="14">
      <c r="B686" s="17"/>
      <c r="C686" s="2"/>
      <c r="D686" s="2"/>
      <c r="E686" s="14"/>
      <c r="F686" s="2"/>
      <c r="G686" s="2"/>
      <c r="H686" s="2"/>
      <c r="I686" s="2"/>
      <c r="J686" s="2"/>
      <c r="K686" s="2"/>
      <c r="L686" s="2"/>
      <c r="M686" s="2"/>
      <c r="N686" s="2"/>
      <c r="O686" s="2"/>
    </row>
    <row r="687" spans="2:15" ht="14">
      <c r="B687" s="17"/>
      <c r="C687" s="2"/>
      <c r="D687" s="2"/>
      <c r="E687" s="14"/>
      <c r="F687" s="2"/>
      <c r="G687" s="2"/>
      <c r="H687" s="2"/>
      <c r="I687" s="2"/>
      <c r="J687" s="2"/>
      <c r="K687" s="2"/>
      <c r="L687" s="2"/>
      <c r="M687" s="2"/>
      <c r="N687" s="2"/>
      <c r="O687" s="2"/>
    </row>
    <row r="688" spans="2:15" ht="14">
      <c r="B688" s="17"/>
      <c r="C688" s="2"/>
      <c r="D688" s="2"/>
      <c r="E688" s="14"/>
      <c r="F688" s="2"/>
      <c r="G688" s="2"/>
      <c r="H688" s="2"/>
      <c r="I688" s="2"/>
      <c r="J688" s="2"/>
      <c r="K688" s="2"/>
      <c r="L688" s="2"/>
      <c r="M688" s="2"/>
      <c r="N688" s="2"/>
      <c r="O688" s="2"/>
    </row>
    <row r="689" spans="2:15" ht="14">
      <c r="B689" s="17"/>
      <c r="C689" s="2"/>
      <c r="D689" s="2"/>
      <c r="E689" s="14"/>
      <c r="F689" s="2"/>
      <c r="G689" s="2"/>
      <c r="H689" s="2"/>
      <c r="I689" s="2"/>
      <c r="J689" s="2"/>
      <c r="K689" s="2"/>
      <c r="L689" s="2"/>
      <c r="M689" s="2"/>
      <c r="N689" s="2"/>
      <c r="O689" s="2"/>
    </row>
    <row r="690" spans="2:15" ht="14">
      <c r="B690" s="17"/>
      <c r="C690" s="2"/>
      <c r="D690" s="2"/>
      <c r="E690" s="14"/>
      <c r="F690" s="2"/>
      <c r="G690" s="2"/>
      <c r="H690" s="2"/>
      <c r="I690" s="2"/>
      <c r="J690" s="2"/>
      <c r="K690" s="2"/>
      <c r="L690" s="2"/>
      <c r="M690" s="2"/>
      <c r="N690" s="2"/>
      <c r="O690" s="2"/>
    </row>
    <row r="691" spans="2:15" ht="14">
      <c r="B691" s="17"/>
      <c r="C691" s="2"/>
      <c r="D691" s="2"/>
      <c r="E691" s="14"/>
      <c r="F691" s="2"/>
      <c r="G691" s="2"/>
      <c r="H691" s="2"/>
      <c r="I691" s="2"/>
      <c r="J691" s="2"/>
      <c r="K691" s="2"/>
      <c r="L691" s="2"/>
      <c r="M691" s="2"/>
      <c r="N691" s="2"/>
      <c r="O691" s="2"/>
    </row>
    <row r="692" spans="2:15" ht="14">
      <c r="B692" s="17"/>
      <c r="C692" s="2"/>
      <c r="D692" s="2"/>
      <c r="E692" s="14"/>
      <c r="F692" s="2"/>
      <c r="G692" s="2"/>
      <c r="H692" s="2"/>
      <c r="I692" s="2"/>
      <c r="J692" s="2"/>
      <c r="K692" s="2"/>
      <c r="L692" s="2"/>
      <c r="M692" s="2"/>
      <c r="N692" s="2"/>
      <c r="O692" s="2"/>
    </row>
    <row r="693" spans="2:15" ht="14">
      <c r="B693" s="17"/>
      <c r="C693" s="2"/>
      <c r="D693" s="2"/>
      <c r="E693" s="14"/>
      <c r="F693" s="2"/>
      <c r="G693" s="2"/>
      <c r="H693" s="2"/>
      <c r="I693" s="2"/>
      <c r="J693" s="2"/>
      <c r="K693" s="2"/>
      <c r="L693" s="2"/>
      <c r="M693" s="2"/>
      <c r="N693" s="2"/>
      <c r="O693" s="2"/>
    </row>
    <row r="694" spans="2:15" ht="14">
      <c r="B694" s="17"/>
      <c r="C694" s="2"/>
      <c r="D694" s="2"/>
      <c r="E694" s="14"/>
      <c r="F694" s="2"/>
      <c r="G694" s="2"/>
      <c r="H694" s="2"/>
      <c r="I694" s="2"/>
      <c r="J694" s="2"/>
      <c r="K694" s="2"/>
      <c r="L694" s="2"/>
      <c r="M694" s="2"/>
      <c r="N694" s="2"/>
      <c r="O694" s="2"/>
    </row>
    <row r="695" spans="2:15" ht="14">
      <c r="B695" s="17"/>
      <c r="C695" s="2"/>
      <c r="D695" s="2"/>
      <c r="E695" s="14"/>
      <c r="F695" s="2"/>
      <c r="G695" s="2"/>
      <c r="H695" s="2"/>
      <c r="I695" s="2"/>
      <c r="J695" s="2"/>
      <c r="K695" s="2"/>
      <c r="L695" s="2"/>
      <c r="M695" s="2"/>
      <c r="N695" s="2"/>
      <c r="O695" s="2"/>
    </row>
    <row r="696" spans="2:15" ht="14">
      <c r="B696" s="17"/>
      <c r="C696" s="2"/>
      <c r="D696" s="2"/>
      <c r="E696" s="14"/>
      <c r="F696" s="2"/>
      <c r="G696" s="2"/>
      <c r="H696" s="2"/>
      <c r="I696" s="2"/>
      <c r="J696" s="2"/>
      <c r="K696" s="2"/>
      <c r="L696" s="2"/>
      <c r="M696" s="2"/>
      <c r="N696" s="2"/>
      <c r="O696" s="2"/>
    </row>
    <row r="697" spans="2:15" ht="14">
      <c r="B697" s="17"/>
      <c r="C697" s="2"/>
      <c r="D697" s="2"/>
      <c r="E697" s="14"/>
      <c r="F697" s="2"/>
      <c r="G697" s="2"/>
      <c r="H697" s="2"/>
      <c r="I697" s="2"/>
      <c r="J697" s="2"/>
      <c r="K697" s="2"/>
      <c r="L697" s="2"/>
      <c r="M697" s="2"/>
      <c r="N697" s="2"/>
      <c r="O697" s="2"/>
    </row>
    <row r="698" spans="2:15" ht="14">
      <c r="B698" s="17"/>
      <c r="C698" s="2"/>
      <c r="D698" s="2"/>
      <c r="E698" s="14"/>
      <c r="F698" s="2"/>
      <c r="G698" s="2"/>
      <c r="H698" s="2"/>
      <c r="I698" s="2"/>
      <c r="J698" s="2"/>
      <c r="K698" s="2"/>
      <c r="L698" s="2"/>
      <c r="M698" s="2"/>
      <c r="N698" s="2"/>
      <c r="O698" s="2"/>
    </row>
    <row r="699" spans="2:15" ht="14">
      <c r="B699" s="17"/>
      <c r="C699" s="2"/>
      <c r="D699" s="2"/>
      <c r="E699" s="14"/>
      <c r="F699" s="2"/>
      <c r="G699" s="2"/>
      <c r="H699" s="2"/>
      <c r="I699" s="2"/>
      <c r="J699" s="2"/>
      <c r="K699" s="2"/>
      <c r="L699" s="2"/>
      <c r="M699" s="2"/>
      <c r="N699" s="2"/>
      <c r="O699" s="2"/>
    </row>
    <row r="700" spans="2:15" ht="14">
      <c r="B700" s="17"/>
      <c r="C700" s="2"/>
      <c r="D700" s="2"/>
      <c r="E700" s="14"/>
      <c r="F700" s="2"/>
      <c r="G700" s="2"/>
      <c r="H700" s="2"/>
      <c r="I700" s="2"/>
      <c r="J700" s="2"/>
      <c r="K700" s="2"/>
      <c r="L700" s="2"/>
      <c r="M700" s="2"/>
      <c r="N700" s="2"/>
      <c r="O700" s="2"/>
    </row>
    <row r="701" spans="2:15" ht="14">
      <c r="B701" s="17"/>
      <c r="C701" s="2"/>
      <c r="D701" s="2"/>
      <c r="E701" s="14"/>
      <c r="F701" s="2"/>
      <c r="G701" s="2"/>
      <c r="H701" s="2"/>
      <c r="I701" s="2"/>
      <c r="J701" s="2"/>
      <c r="K701" s="2"/>
      <c r="L701" s="2"/>
      <c r="M701" s="2"/>
      <c r="N701" s="2"/>
      <c r="O701" s="2"/>
    </row>
    <row r="702" spans="2:15" ht="14">
      <c r="B702" s="17"/>
      <c r="C702" s="2"/>
      <c r="D702" s="2"/>
      <c r="E702" s="14"/>
      <c r="F702" s="2"/>
      <c r="G702" s="2"/>
      <c r="H702" s="2"/>
      <c r="I702" s="2"/>
      <c r="J702" s="2"/>
      <c r="K702" s="2"/>
      <c r="L702" s="2"/>
      <c r="M702" s="2"/>
      <c r="N702" s="2"/>
      <c r="O702" s="2"/>
    </row>
    <row r="703" spans="2:15" ht="14">
      <c r="B703" s="17"/>
      <c r="C703" s="2"/>
      <c r="D703" s="2"/>
      <c r="E703" s="14"/>
      <c r="F703" s="2"/>
      <c r="G703" s="2"/>
      <c r="H703" s="2"/>
      <c r="I703" s="2"/>
      <c r="J703" s="2"/>
      <c r="K703" s="2"/>
      <c r="L703" s="2"/>
      <c r="M703" s="2"/>
      <c r="N703" s="2"/>
      <c r="O703" s="2"/>
    </row>
    <row r="704" spans="2:15" ht="14">
      <c r="B704" s="17"/>
      <c r="C704" s="2"/>
      <c r="D704" s="2"/>
      <c r="E704" s="14"/>
      <c r="F704" s="2"/>
      <c r="G704" s="2"/>
      <c r="H704" s="2"/>
      <c r="I704" s="2"/>
      <c r="J704" s="2"/>
      <c r="K704" s="2"/>
      <c r="L704" s="2"/>
      <c r="M704" s="2"/>
      <c r="N704" s="2"/>
      <c r="O704" s="2"/>
    </row>
    <row r="705" spans="2:15" ht="14">
      <c r="B705" s="17"/>
      <c r="C705" s="2"/>
      <c r="D705" s="2"/>
      <c r="E705" s="14"/>
      <c r="F705" s="2"/>
      <c r="G705" s="2"/>
      <c r="H705" s="2"/>
      <c r="I705" s="2"/>
      <c r="J705" s="2"/>
      <c r="K705" s="2"/>
      <c r="L705" s="2"/>
      <c r="M705" s="2"/>
      <c r="N705" s="2"/>
      <c r="O705" s="2"/>
    </row>
    <row r="706" spans="2:15" ht="14">
      <c r="B706" s="17"/>
      <c r="C706" s="2"/>
      <c r="D706" s="2"/>
      <c r="E706" s="14"/>
      <c r="F706" s="2"/>
      <c r="G706" s="2"/>
      <c r="H706" s="2"/>
      <c r="I706" s="2"/>
      <c r="J706" s="2"/>
      <c r="K706" s="2"/>
      <c r="L706" s="2"/>
      <c r="M706" s="2"/>
      <c r="N706" s="2"/>
      <c r="O706" s="2"/>
    </row>
    <row r="707" spans="2:15" ht="14">
      <c r="B707" s="17"/>
      <c r="C707" s="2"/>
      <c r="D707" s="2"/>
      <c r="E707" s="14"/>
      <c r="F707" s="2"/>
      <c r="G707" s="2"/>
      <c r="H707" s="2"/>
      <c r="I707" s="2"/>
      <c r="J707" s="2"/>
      <c r="K707" s="2"/>
      <c r="L707" s="2"/>
      <c r="M707" s="2"/>
      <c r="N707" s="2"/>
      <c r="O707" s="2"/>
    </row>
    <row r="708" spans="2:15" ht="14">
      <c r="B708" s="17"/>
      <c r="C708" s="2"/>
      <c r="D708" s="2"/>
      <c r="E708" s="14"/>
      <c r="F708" s="2"/>
      <c r="G708" s="2"/>
      <c r="H708" s="2"/>
      <c r="I708" s="2"/>
      <c r="J708" s="2"/>
      <c r="K708" s="2"/>
      <c r="L708" s="2"/>
      <c r="M708" s="2"/>
      <c r="N708" s="2"/>
      <c r="O708" s="2"/>
    </row>
    <row r="709" spans="2:15" ht="14">
      <c r="B709" s="17"/>
      <c r="C709" s="2"/>
      <c r="D709" s="2"/>
      <c r="E709" s="14"/>
      <c r="F709" s="2"/>
      <c r="G709" s="2"/>
      <c r="H709" s="2"/>
      <c r="I709" s="2"/>
      <c r="J709" s="2"/>
      <c r="K709" s="2"/>
      <c r="L709" s="2"/>
      <c r="M709" s="2"/>
      <c r="N709" s="2"/>
      <c r="O709" s="2"/>
    </row>
    <row r="710" spans="2:15" ht="14">
      <c r="B710" s="17"/>
      <c r="C710" s="2"/>
      <c r="D710" s="2"/>
      <c r="E710" s="14"/>
      <c r="F710" s="2"/>
      <c r="G710" s="2"/>
      <c r="H710" s="2"/>
      <c r="I710" s="2"/>
      <c r="J710" s="2"/>
      <c r="K710" s="2"/>
      <c r="L710" s="2"/>
      <c r="M710" s="2"/>
      <c r="N710" s="2"/>
      <c r="O710" s="2"/>
    </row>
    <row r="711" spans="2:15" ht="14">
      <c r="B711" s="17"/>
      <c r="C711" s="2"/>
      <c r="D711" s="2"/>
      <c r="E711" s="14"/>
      <c r="F711" s="2"/>
      <c r="G711" s="2"/>
      <c r="H711" s="2"/>
      <c r="I711" s="2"/>
      <c r="J711" s="2"/>
      <c r="K711" s="2"/>
      <c r="L711" s="2"/>
      <c r="M711" s="2"/>
      <c r="N711" s="2"/>
      <c r="O711" s="2"/>
    </row>
    <row r="712" spans="2:15" ht="14">
      <c r="B712" s="17"/>
      <c r="C712" s="2"/>
      <c r="D712" s="2"/>
      <c r="E712" s="14"/>
      <c r="F712" s="2"/>
      <c r="G712" s="2"/>
      <c r="H712" s="2"/>
      <c r="I712" s="2"/>
      <c r="J712" s="2"/>
      <c r="K712" s="2"/>
      <c r="L712" s="2"/>
      <c r="M712" s="2"/>
      <c r="N712" s="2"/>
      <c r="O712" s="2"/>
    </row>
    <row r="713" spans="2:15" ht="14">
      <c r="B713" s="17"/>
      <c r="C713" s="2"/>
      <c r="D713" s="2"/>
      <c r="E713" s="14"/>
      <c r="F713" s="2"/>
      <c r="G713" s="2"/>
      <c r="H713" s="2"/>
      <c r="I713" s="2"/>
      <c r="J713" s="2"/>
      <c r="K713" s="2"/>
      <c r="L713" s="2"/>
      <c r="M713" s="2"/>
      <c r="N713" s="2"/>
      <c r="O713" s="2"/>
    </row>
    <row r="714" spans="2:15" ht="14">
      <c r="B714" s="17"/>
      <c r="C714" s="2"/>
      <c r="D714" s="2"/>
      <c r="E714" s="14"/>
      <c r="F714" s="2"/>
      <c r="G714" s="2"/>
      <c r="H714" s="2"/>
      <c r="I714" s="2"/>
      <c r="J714" s="2"/>
      <c r="K714" s="2"/>
      <c r="L714" s="2"/>
      <c r="M714" s="2"/>
      <c r="N714" s="2"/>
      <c r="O714" s="2"/>
    </row>
    <row r="715" spans="2:15" ht="14">
      <c r="B715" s="17"/>
      <c r="C715" s="2"/>
      <c r="D715" s="2"/>
      <c r="E715" s="14"/>
      <c r="F715" s="2"/>
      <c r="G715" s="2"/>
      <c r="H715" s="2"/>
      <c r="I715" s="2"/>
      <c r="J715" s="2"/>
      <c r="K715" s="2"/>
      <c r="L715" s="2"/>
      <c r="M715" s="2"/>
      <c r="N715" s="2"/>
      <c r="O715" s="2"/>
    </row>
    <row r="716" spans="2:15" ht="14">
      <c r="B716" s="17"/>
      <c r="C716" s="2"/>
      <c r="D716" s="2"/>
      <c r="E716" s="14"/>
      <c r="F716" s="2"/>
      <c r="G716" s="2"/>
      <c r="H716" s="2"/>
      <c r="I716" s="2"/>
      <c r="J716" s="2"/>
      <c r="K716" s="2"/>
      <c r="L716" s="2"/>
      <c r="M716" s="2"/>
      <c r="N716" s="2"/>
      <c r="O716" s="2"/>
    </row>
    <row r="717" spans="2:15" ht="14">
      <c r="B717" s="17"/>
      <c r="C717" s="2"/>
      <c r="D717" s="2"/>
      <c r="E717" s="14"/>
      <c r="F717" s="2"/>
      <c r="G717" s="2"/>
      <c r="H717" s="2"/>
      <c r="I717" s="2"/>
      <c r="J717" s="2"/>
      <c r="K717" s="2"/>
      <c r="L717" s="2"/>
      <c r="M717" s="2"/>
      <c r="N717" s="2"/>
      <c r="O717" s="2"/>
    </row>
    <row r="718" spans="2:15" ht="14">
      <c r="B718" s="17"/>
      <c r="C718" s="2"/>
      <c r="D718" s="2"/>
      <c r="E718" s="14"/>
      <c r="F718" s="2"/>
      <c r="G718" s="2"/>
      <c r="H718" s="2"/>
      <c r="I718" s="2"/>
      <c r="J718" s="2"/>
      <c r="K718" s="2"/>
      <c r="L718" s="2"/>
      <c r="M718" s="2"/>
      <c r="N718" s="2"/>
      <c r="O718" s="2"/>
    </row>
    <row r="719" spans="2:15" ht="14">
      <c r="B719" s="17"/>
      <c r="C719" s="2"/>
      <c r="D719" s="2"/>
      <c r="E719" s="14"/>
      <c r="F719" s="2"/>
      <c r="G719" s="2"/>
      <c r="H719" s="2"/>
      <c r="I719" s="2"/>
      <c r="J719" s="2"/>
      <c r="K719" s="2"/>
      <c r="L719" s="2"/>
      <c r="M719" s="2"/>
      <c r="N719" s="2"/>
      <c r="O719" s="2"/>
    </row>
    <row r="720" spans="2:15" ht="14">
      <c r="B720" s="17"/>
      <c r="C720" s="2"/>
      <c r="D720" s="2"/>
      <c r="E720" s="14"/>
      <c r="F720" s="2"/>
      <c r="G720" s="2"/>
      <c r="H720" s="2"/>
      <c r="I720" s="2"/>
      <c r="J720" s="2"/>
      <c r="K720" s="2"/>
      <c r="L720" s="2"/>
      <c r="M720" s="2"/>
      <c r="N720" s="2"/>
      <c r="O720" s="2"/>
    </row>
    <row r="721" spans="2:15" ht="14">
      <c r="B721" s="17"/>
      <c r="C721" s="2"/>
      <c r="D721" s="2"/>
      <c r="E721" s="14"/>
      <c r="F721" s="2"/>
      <c r="G721" s="2"/>
      <c r="H721" s="2"/>
      <c r="I721" s="2"/>
      <c r="J721" s="2"/>
      <c r="K721" s="2"/>
      <c r="L721" s="2"/>
      <c r="M721" s="2"/>
      <c r="N721" s="2"/>
      <c r="O721" s="2"/>
    </row>
    <row r="722" spans="2:15" ht="14">
      <c r="B722" s="17"/>
      <c r="C722" s="2"/>
      <c r="D722" s="2"/>
      <c r="E722" s="14"/>
      <c r="F722" s="2"/>
      <c r="G722" s="2"/>
      <c r="H722" s="2"/>
      <c r="I722" s="2"/>
      <c r="J722" s="2"/>
      <c r="K722" s="2"/>
      <c r="L722" s="2"/>
      <c r="M722" s="2"/>
      <c r="N722" s="2"/>
      <c r="O722" s="2"/>
    </row>
    <row r="723" spans="2:15" ht="14">
      <c r="B723" s="17"/>
      <c r="C723" s="2"/>
      <c r="D723" s="2"/>
      <c r="E723" s="14"/>
      <c r="F723" s="2"/>
      <c r="G723" s="2"/>
      <c r="H723" s="2"/>
      <c r="I723" s="2"/>
      <c r="J723" s="2"/>
      <c r="K723" s="2"/>
      <c r="L723" s="2"/>
      <c r="M723" s="2"/>
      <c r="N723" s="2"/>
      <c r="O723" s="2"/>
    </row>
    <row r="724" spans="2:15" ht="14">
      <c r="B724" s="17"/>
      <c r="C724" s="2"/>
      <c r="D724" s="2"/>
      <c r="E724" s="14"/>
      <c r="F724" s="2"/>
      <c r="G724" s="2"/>
      <c r="H724" s="2"/>
      <c r="I724" s="2"/>
      <c r="J724" s="2"/>
      <c r="K724" s="2"/>
      <c r="L724" s="2"/>
      <c r="M724" s="2"/>
      <c r="N724" s="2"/>
      <c r="O724" s="2"/>
    </row>
    <row r="725" spans="2:15" ht="14">
      <c r="B725" s="17"/>
      <c r="C725" s="2"/>
      <c r="D725" s="2"/>
      <c r="E725" s="14"/>
      <c r="F725" s="2"/>
      <c r="G725" s="2"/>
      <c r="H725" s="2"/>
      <c r="I725" s="2"/>
      <c r="J725" s="2"/>
      <c r="K725" s="2"/>
      <c r="L725" s="2"/>
      <c r="M725" s="2"/>
      <c r="N725" s="2"/>
      <c r="O725" s="2"/>
    </row>
    <row r="726" spans="2:15" ht="14">
      <c r="B726" s="17"/>
      <c r="C726" s="2"/>
      <c r="D726" s="2"/>
      <c r="E726" s="14"/>
      <c r="F726" s="2"/>
      <c r="G726" s="2"/>
      <c r="H726" s="2"/>
      <c r="I726" s="2"/>
      <c r="J726" s="2"/>
      <c r="K726" s="2"/>
      <c r="L726" s="2"/>
      <c r="M726" s="2"/>
      <c r="N726" s="2"/>
      <c r="O726" s="2"/>
    </row>
    <row r="727" spans="2:15" ht="14">
      <c r="B727" s="17"/>
      <c r="C727" s="2"/>
      <c r="D727" s="2"/>
      <c r="E727" s="14"/>
      <c r="F727" s="2"/>
      <c r="G727" s="2"/>
      <c r="H727" s="2"/>
      <c r="I727" s="2"/>
      <c r="J727" s="2"/>
      <c r="K727" s="2"/>
      <c r="L727" s="2"/>
      <c r="M727" s="2"/>
      <c r="N727" s="2"/>
      <c r="O727" s="2"/>
    </row>
    <row r="728" spans="2:15" ht="14">
      <c r="B728" s="17"/>
      <c r="C728" s="2"/>
      <c r="D728" s="2"/>
      <c r="E728" s="14"/>
      <c r="F728" s="2"/>
      <c r="G728" s="2"/>
      <c r="H728" s="2"/>
      <c r="I728" s="2"/>
      <c r="J728" s="2"/>
      <c r="K728" s="2"/>
      <c r="L728" s="2"/>
      <c r="M728" s="2"/>
      <c r="N728" s="2"/>
      <c r="O728" s="2"/>
    </row>
    <row r="729" spans="2:15" ht="14">
      <c r="B729" s="17"/>
      <c r="C729" s="2"/>
      <c r="D729" s="2"/>
      <c r="E729" s="14"/>
      <c r="F729" s="2"/>
      <c r="G729" s="2"/>
      <c r="H729" s="2"/>
      <c r="I729" s="2"/>
      <c r="J729" s="2"/>
      <c r="K729" s="2"/>
      <c r="L729" s="2"/>
      <c r="M729" s="2"/>
      <c r="N729" s="2"/>
      <c r="O729" s="2"/>
    </row>
    <row r="730" spans="2:15" ht="14">
      <c r="B730" s="17"/>
      <c r="C730" s="2"/>
      <c r="D730" s="2"/>
      <c r="E730" s="14"/>
      <c r="F730" s="2"/>
      <c r="G730" s="2"/>
      <c r="H730" s="2"/>
      <c r="I730" s="2"/>
      <c r="J730" s="2"/>
      <c r="K730" s="2"/>
      <c r="L730" s="2"/>
      <c r="M730" s="2"/>
      <c r="N730" s="2"/>
      <c r="O730" s="2"/>
    </row>
    <row r="731" spans="2:15" ht="14">
      <c r="B731" s="17"/>
      <c r="C731" s="2"/>
      <c r="D731" s="2"/>
      <c r="E731" s="14"/>
      <c r="F731" s="2"/>
      <c r="G731" s="2"/>
      <c r="H731" s="2"/>
      <c r="I731" s="2"/>
      <c r="J731" s="2"/>
      <c r="K731" s="2"/>
      <c r="L731" s="2"/>
      <c r="M731" s="2"/>
      <c r="N731" s="2"/>
      <c r="O731" s="2"/>
    </row>
    <row r="732" spans="2:15" ht="14">
      <c r="B732" s="17"/>
      <c r="C732" s="2"/>
      <c r="D732" s="2"/>
      <c r="E732" s="14"/>
      <c r="F732" s="2"/>
      <c r="G732" s="2"/>
      <c r="H732" s="2"/>
      <c r="I732" s="2"/>
      <c r="J732" s="2"/>
      <c r="K732" s="2"/>
      <c r="L732" s="2"/>
      <c r="M732" s="2"/>
      <c r="N732" s="2"/>
      <c r="O732" s="2"/>
    </row>
    <row r="733" spans="2:15" ht="14">
      <c r="B733" s="17"/>
      <c r="C733" s="2"/>
      <c r="D733" s="2"/>
      <c r="E733" s="14"/>
      <c r="F733" s="2"/>
      <c r="G733" s="2"/>
      <c r="H733" s="2"/>
      <c r="I733" s="2"/>
      <c r="J733" s="2"/>
      <c r="K733" s="2"/>
      <c r="L733" s="2"/>
      <c r="M733" s="2"/>
      <c r="N733" s="2"/>
      <c r="O733" s="2"/>
    </row>
    <row r="734" spans="2:15" ht="14">
      <c r="B734" s="17"/>
      <c r="C734" s="2"/>
      <c r="D734" s="2"/>
      <c r="E734" s="14"/>
      <c r="F734" s="2"/>
      <c r="G734" s="2"/>
      <c r="H734" s="2"/>
      <c r="I734" s="2"/>
      <c r="J734" s="2"/>
      <c r="K734" s="2"/>
      <c r="L734" s="2"/>
      <c r="M734" s="2"/>
      <c r="N734" s="2"/>
      <c r="O734" s="2"/>
    </row>
    <row r="735" spans="2:15" ht="14">
      <c r="B735" s="17"/>
      <c r="C735" s="2"/>
      <c r="D735" s="2"/>
      <c r="E735" s="14"/>
      <c r="F735" s="2"/>
      <c r="G735" s="2"/>
      <c r="H735" s="2"/>
      <c r="I735" s="2"/>
      <c r="J735" s="2"/>
      <c r="K735" s="2"/>
      <c r="L735" s="2"/>
      <c r="M735" s="2"/>
      <c r="N735" s="2"/>
      <c r="O735" s="2"/>
    </row>
    <row r="736" spans="2:15" ht="14">
      <c r="B736" s="17"/>
      <c r="C736" s="2"/>
      <c r="D736" s="2"/>
      <c r="E736" s="14"/>
      <c r="F736" s="2"/>
      <c r="G736" s="2"/>
      <c r="H736" s="2"/>
      <c r="I736" s="2"/>
      <c r="J736" s="2"/>
      <c r="K736" s="2"/>
      <c r="L736" s="2"/>
      <c r="M736" s="2"/>
      <c r="N736" s="2"/>
      <c r="O736" s="2"/>
    </row>
    <row r="737" spans="2:15" ht="14">
      <c r="B737" s="17"/>
      <c r="C737" s="2"/>
      <c r="D737" s="2"/>
      <c r="E737" s="14"/>
      <c r="F737" s="2"/>
      <c r="G737" s="2"/>
      <c r="H737" s="2"/>
      <c r="I737" s="2"/>
      <c r="J737" s="2"/>
      <c r="K737" s="2"/>
      <c r="L737" s="2"/>
      <c r="M737" s="2"/>
      <c r="N737" s="2"/>
      <c r="O737" s="2"/>
    </row>
    <row r="738" spans="2:15" ht="14">
      <c r="B738" s="17"/>
      <c r="C738" s="2"/>
      <c r="D738" s="2"/>
      <c r="E738" s="14"/>
      <c r="F738" s="2"/>
      <c r="G738" s="2"/>
      <c r="H738" s="2"/>
      <c r="I738" s="2"/>
      <c r="J738" s="2"/>
      <c r="K738" s="2"/>
      <c r="L738" s="2"/>
      <c r="M738" s="2"/>
      <c r="N738" s="2"/>
      <c r="O738" s="2"/>
    </row>
    <row r="739" spans="2:15" ht="14">
      <c r="B739" s="17"/>
      <c r="C739" s="2"/>
      <c r="D739" s="2"/>
      <c r="E739" s="14"/>
      <c r="F739" s="2"/>
      <c r="G739" s="2"/>
      <c r="H739" s="2"/>
      <c r="I739" s="2"/>
      <c r="J739" s="2"/>
      <c r="K739" s="2"/>
      <c r="L739" s="2"/>
      <c r="M739" s="2"/>
      <c r="N739" s="2"/>
      <c r="O739" s="2"/>
    </row>
    <row r="740" spans="2:15" ht="14">
      <c r="B740" s="17"/>
      <c r="C740" s="2"/>
      <c r="D740" s="2"/>
      <c r="E740" s="14"/>
      <c r="F740" s="2"/>
      <c r="G740" s="2"/>
      <c r="H740" s="2"/>
      <c r="I740" s="2"/>
      <c r="J740" s="2"/>
      <c r="K740" s="2"/>
      <c r="L740" s="2"/>
      <c r="M740" s="2"/>
      <c r="N740" s="2"/>
      <c r="O740" s="2"/>
    </row>
    <row r="741" spans="2:15" ht="14">
      <c r="B741" s="17"/>
      <c r="C741" s="2"/>
      <c r="D741" s="2"/>
      <c r="E741" s="14"/>
      <c r="F741" s="2"/>
      <c r="G741" s="2"/>
      <c r="H741" s="2"/>
      <c r="I741" s="2"/>
      <c r="J741" s="2"/>
      <c r="K741" s="2"/>
      <c r="L741" s="2"/>
      <c r="M741" s="2"/>
      <c r="N741" s="2"/>
      <c r="O741" s="2"/>
    </row>
    <row r="742" spans="2:15" ht="14">
      <c r="B742" s="17"/>
      <c r="C742" s="2"/>
      <c r="D742" s="2"/>
      <c r="E742" s="14"/>
      <c r="F742" s="2"/>
      <c r="G742" s="2"/>
      <c r="H742" s="2"/>
      <c r="I742" s="2"/>
      <c r="J742" s="2"/>
      <c r="K742" s="2"/>
      <c r="L742" s="2"/>
      <c r="M742" s="2"/>
      <c r="N742" s="2"/>
      <c r="O742" s="2"/>
    </row>
    <row r="743" spans="2:15" ht="14">
      <c r="B743" s="17"/>
      <c r="C743" s="2"/>
      <c r="D743" s="2"/>
      <c r="E743" s="14"/>
      <c r="F743" s="2"/>
      <c r="G743" s="2"/>
      <c r="H743" s="2"/>
      <c r="I743" s="2"/>
      <c r="J743" s="2"/>
      <c r="K743" s="2"/>
      <c r="L743" s="2"/>
      <c r="M743" s="2"/>
      <c r="N743" s="2"/>
      <c r="O743" s="2"/>
    </row>
    <row r="744" spans="2:15" ht="14">
      <c r="B744" s="17"/>
      <c r="C744" s="2"/>
      <c r="D744" s="2"/>
      <c r="E744" s="14"/>
      <c r="F744" s="2"/>
      <c r="G744" s="2"/>
      <c r="H744" s="2"/>
      <c r="I744" s="2"/>
      <c r="J744" s="2"/>
      <c r="K744" s="2"/>
      <c r="L744" s="2"/>
      <c r="M744" s="2"/>
      <c r="N744" s="2"/>
      <c r="O744" s="2"/>
    </row>
    <row r="745" spans="2:15" ht="14">
      <c r="B745" s="17"/>
      <c r="C745" s="2"/>
      <c r="D745" s="2"/>
      <c r="E745" s="14"/>
      <c r="F745" s="2"/>
      <c r="G745" s="2"/>
      <c r="H745" s="2"/>
      <c r="I745" s="2"/>
      <c r="J745" s="2"/>
      <c r="K745" s="2"/>
      <c r="L745" s="2"/>
      <c r="M745" s="2"/>
      <c r="N745" s="2"/>
      <c r="O745" s="2"/>
    </row>
    <row r="746" spans="2:15" ht="14">
      <c r="B746" s="17"/>
      <c r="C746" s="2"/>
      <c r="D746" s="2"/>
      <c r="E746" s="14"/>
      <c r="F746" s="2"/>
      <c r="G746" s="2"/>
      <c r="H746" s="2"/>
      <c r="I746" s="2"/>
      <c r="J746" s="2"/>
      <c r="K746" s="2"/>
      <c r="L746" s="2"/>
      <c r="M746" s="2"/>
      <c r="N746" s="2"/>
      <c r="O746" s="2"/>
    </row>
    <row r="747" spans="2:15" ht="14">
      <c r="B747" s="17"/>
      <c r="C747" s="2"/>
      <c r="D747" s="2"/>
      <c r="E747" s="14"/>
      <c r="F747" s="2"/>
      <c r="G747" s="2"/>
      <c r="H747" s="2"/>
      <c r="I747" s="2"/>
      <c r="J747" s="2"/>
      <c r="K747" s="2"/>
      <c r="L747" s="2"/>
      <c r="M747" s="2"/>
      <c r="N747" s="2"/>
      <c r="O747" s="2"/>
    </row>
    <row r="748" spans="2:15" ht="14">
      <c r="B748" s="17"/>
      <c r="C748" s="2"/>
      <c r="D748" s="2"/>
      <c r="E748" s="14"/>
      <c r="F748" s="2"/>
      <c r="G748" s="2"/>
      <c r="H748" s="2"/>
      <c r="I748" s="2"/>
      <c r="J748" s="2"/>
      <c r="K748" s="2"/>
      <c r="L748" s="2"/>
      <c r="M748" s="2"/>
      <c r="N748" s="2"/>
      <c r="O748" s="2"/>
    </row>
    <row r="749" spans="2:15" ht="14">
      <c r="B749" s="17"/>
      <c r="C749" s="2"/>
      <c r="D749" s="2"/>
      <c r="E749" s="14"/>
      <c r="F749" s="2"/>
      <c r="G749" s="2"/>
      <c r="H749" s="2"/>
      <c r="I749" s="2"/>
      <c r="J749" s="2"/>
      <c r="K749" s="2"/>
      <c r="L749" s="2"/>
      <c r="M749" s="2"/>
      <c r="N749" s="2"/>
      <c r="O749" s="2"/>
    </row>
    <row r="750" spans="2:15" ht="14">
      <c r="B750" s="17"/>
      <c r="C750" s="2"/>
      <c r="D750" s="2"/>
      <c r="E750" s="14"/>
      <c r="F750" s="2"/>
      <c r="G750" s="2"/>
      <c r="H750" s="2"/>
      <c r="I750" s="2"/>
      <c r="J750" s="2"/>
      <c r="K750" s="2"/>
      <c r="L750" s="2"/>
      <c r="M750" s="2"/>
      <c r="N750" s="2"/>
      <c r="O750" s="2"/>
    </row>
    <row r="751" spans="2:15" ht="14">
      <c r="B751" s="17"/>
      <c r="C751" s="2"/>
      <c r="D751" s="2"/>
      <c r="E751" s="14"/>
      <c r="F751" s="2"/>
      <c r="G751" s="2"/>
      <c r="H751" s="2"/>
      <c r="I751" s="2"/>
      <c r="J751" s="2"/>
      <c r="K751" s="2"/>
      <c r="L751" s="2"/>
      <c r="M751" s="2"/>
      <c r="N751" s="2"/>
      <c r="O751" s="2"/>
    </row>
    <row r="752" spans="2:15" ht="14">
      <c r="B752" s="17"/>
      <c r="C752" s="2"/>
      <c r="D752" s="2"/>
      <c r="E752" s="14"/>
      <c r="F752" s="2"/>
      <c r="G752" s="2"/>
      <c r="H752" s="2"/>
      <c r="I752" s="2"/>
      <c r="J752" s="2"/>
      <c r="K752" s="2"/>
      <c r="L752" s="2"/>
      <c r="M752" s="2"/>
      <c r="N752" s="2"/>
      <c r="O752" s="2"/>
    </row>
    <row r="753" spans="2:15" ht="14">
      <c r="B753" s="17"/>
      <c r="C753" s="2"/>
      <c r="D753" s="2"/>
      <c r="E753" s="14"/>
      <c r="F753" s="2"/>
      <c r="G753" s="2"/>
      <c r="H753" s="2"/>
      <c r="I753" s="2"/>
      <c r="J753" s="2"/>
      <c r="K753" s="2"/>
      <c r="L753" s="2"/>
      <c r="M753" s="2"/>
      <c r="N753" s="2"/>
      <c r="O753" s="2"/>
    </row>
    <row r="754" spans="2:15" ht="14">
      <c r="B754" s="17"/>
      <c r="C754" s="2"/>
      <c r="D754" s="2"/>
      <c r="E754" s="14"/>
      <c r="F754" s="2"/>
      <c r="G754" s="2"/>
      <c r="H754" s="2"/>
      <c r="I754" s="2"/>
      <c r="J754" s="2"/>
      <c r="K754" s="2"/>
      <c r="L754" s="2"/>
      <c r="M754" s="2"/>
      <c r="N754" s="2"/>
      <c r="O754" s="2"/>
    </row>
    <row r="755" spans="2:15" ht="14">
      <c r="B755" s="17"/>
      <c r="C755" s="2"/>
      <c r="D755" s="2"/>
      <c r="E755" s="14"/>
      <c r="F755" s="2"/>
      <c r="G755" s="2"/>
      <c r="H755" s="2"/>
      <c r="I755" s="2"/>
      <c r="J755" s="2"/>
      <c r="K755" s="2"/>
      <c r="L755" s="2"/>
      <c r="M755" s="2"/>
      <c r="N755" s="2"/>
      <c r="O755" s="2"/>
    </row>
    <row r="756" spans="2:15" ht="14">
      <c r="B756" s="17"/>
      <c r="C756" s="2"/>
      <c r="D756" s="2"/>
      <c r="E756" s="14"/>
      <c r="F756" s="2"/>
      <c r="G756" s="2"/>
      <c r="H756" s="2"/>
      <c r="I756" s="2"/>
      <c r="J756" s="2"/>
      <c r="K756" s="2"/>
      <c r="L756" s="2"/>
      <c r="M756" s="2"/>
      <c r="N756" s="2"/>
      <c r="O756" s="2"/>
    </row>
    <row r="757" spans="2:15" ht="14">
      <c r="B757" s="17"/>
      <c r="C757" s="2"/>
      <c r="D757" s="2"/>
      <c r="E757" s="14"/>
      <c r="F757" s="2"/>
      <c r="G757" s="2"/>
      <c r="H757" s="2"/>
      <c r="I757" s="2"/>
      <c r="J757" s="2"/>
      <c r="K757" s="2"/>
      <c r="L757" s="2"/>
      <c r="M757" s="2"/>
      <c r="N757" s="2"/>
      <c r="O757" s="2"/>
    </row>
    <row r="758" spans="2:15" ht="14">
      <c r="B758" s="17"/>
      <c r="C758" s="2"/>
      <c r="D758" s="2"/>
      <c r="E758" s="14"/>
      <c r="F758" s="2"/>
      <c r="G758" s="2"/>
      <c r="H758" s="2"/>
      <c r="I758" s="2"/>
      <c r="J758" s="2"/>
      <c r="K758" s="2"/>
      <c r="L758" s="2"/>
      <c r="M758" s="2"/>
      <c r="N758" s="2"/>
      <c r="O758" s="2"/>
    </row>
    <row r="759" spans="2:15" ht="14">
      <c r="B759" s="17"/>
      <c r="C759" s="2"/>
      <c r="D759" s="2"/>
      <c r="E759" s="14"/>
      <c r="F759" s="2"/>
      <c r="G759" s="2"/>
      <c r="H759" s="2"/>
      <c r="I759" s="2"/>
      <c r="J759" s="2"/>
      <c r="K759" s="2"/>
      <c r="L759" s="2"/>
      <c r="M759" s="2"/>
      <c r="N759" s="2"/>
      <c r="O759" s="2"/>
    </row>
    <row r="760" spans="2:15" ht="14">
      <c r="B760" s="17"/>
      <c r="C760" s="2"/>
      <c r="D760" s="2"/>
      <c r="E760" s="14"/>
      <c r="F760" s="2"/>
      <c r="G760" s="2"/>
      <c r="H760" s="2"/>
      <c r="I760" s="2"/>
      <c r="J760" s="2"/>
      <c r="K760" s="2"/>
      <c r="L760" s="2"/>
      <c r="M760" s="2"/>
      <c r="N760" s="2"/>
      <c r="O760" s="2"/>
    </row>
    <row r="761" spans="2:15" ht="14">
      <c r="B761" s="17"/>
      <c r="C761" s="2"/>
      <c r="D761" s="2"/>
      <c r="E761" s="14"/>
      <c r="F761" s="2"/>
      <c r="G761" s="2"/>
      <c r="H761" s="2"/>
      <c r="I761" s="2"/>
      <c r="J761" s="2"/>
      <c r="K761" s="2"/>
      <c r="L761" s="2"/>
      <c r="M761" s="2"/>
      <c r="N761" s="2"/>
      <c r="O761" s="2"/>
    </row>
    <row r="762" spans="2:15" ht="14">
      <c r="B762" s="17"/>
      <c r="C762" s="2"/>
      <c r="D762" s="2"/>
      <c r="E762" s="14"/>
      <c r="F762" s="2"/>
      <c r="G762" s="2"/>
      <c r="H762" s="2"/>
      <c r="I762" s="2"/>
      <c r="J762" s="2"/>
      <c r="K762" s="2"/>
      <c r="L762" s="2"/>
      <c r="M762" s="2"/>
      <c r="N762" s="2"/>
      <c r="O762" s="2"/>
    </row>
    <row r="763" spans="2:15" ht="14">
      <c r="B763" s="17"/>
      <c r="C763" s="2"/>
      <c r="D763" s="2"/>
      <c r="E763" s="14"/>
      <c r="F763" s="2"/>
      <c r="G763" s="2"/>
      <c r="H763" s="2"/>
      <c r="I763" s="2"/>
      <c r="J763" s="2"/>
      <c r="K763" s="2"/>
      <c r="L763" s="2"/>
      <c r="M763" s="2"/>
      <c r="N763" s="2"/>
      <c r="O763" s="2"/>
    </row>
    <row r="764" spans="2:15" ht="14">
      <c r="B764" s="17"/>
      <c r="C764" s="2"/>
      <c r="D764" s="2"/>
      <c r="E764" s="14"/>
      <c r="F764" s="2"/>
      <c r="G764" s="2"/>
      <c r="H764" s="2"/>
      <c r="I764" s="2"/>
      <c r="J764" s="2"/>
      <c r="K764" s="2"/>
      <c r="L764" s="2"/>
      <c r="M764" s="2"/>
      <c r="N764" s="2"/>
      <c r="O764" s="2"/>
    </row>
    <row r="765" spans="2:15" ht="14">
      <c r="B765" s="17"/>
      <c r="C765" s="2"/>
      <c r="D765" s="2"/>
      <c r="E765" s="14"/>
      <c r="F765" s="2"/>
      <c r="G765" s="2"/>
      <c r="H765" s="2"/>
      <c r="I765" s="2"/>
      <c r="J765" s="2"/>
      <c r="K765" s="2"/>
      <c r="L765" s="2"/>
      <c r="M765" s="2"/>
      <c r="N765" s="2"/>
      <c r="O765" s="2"/>
    </row>
    <row r="766" spans="2:15" ht="14">
      <c r="B766" s="17"/>
      <c r="C766" s="2"/>
      <c r="D766" s="2"/>
      <c r="E766" s="14"/>
      <c r="F766" s="2"/>
      <c r="G766" s="2"/>
      <c r="H766" s="2"/>
      <c r="I766" s="2"/>
      <c r="J766" s="2"/>
      <c r="K766" s="2"/>
      <c r="L766" s="2"/>
      <c r="M766" s="2"/>
      <c r="N766" s="2"/>
      <c r="O766" s="2"/>
    </row>
    <row r="767" spans="2:15" ht="14">
      <c r="B767" s="17"/>
      <c r="C767" s="2"/>
      <c r="D767" s="2"/>
      <c r="E767" s="14"/>
      <c r="F767" s="2"/>
      <c r="G767" s="2"/>
      <c r="H767" s="2"/>
      <c r="I767" s="2"/>
      <c r="J767" s="2"/>
      <c r="K767" s="2"/>
      <c r="L767" s="2"/>
      <c r="M767" s="2"/>
      <c r="N767" s="2"/>
      <c r="O767" s="2"/>
    </row>
    <row r="768" spans="2:15" ht="14">
      <c r="B768" s="17"/>
      <c r="C768" s="2"/>
      <c r="D768" s="2"/>
      <c r="E768" s="14"/>
      <c r="F768" s="2"/>
      <c r="G768" s="2"/>
      <c r="H768" s="2"/>
      <c r="I768" s="2"/>
      <c r="J768" s="2"/>
      <c r="K768" s="2"/>
      <c r="L768" s="2"/>
      <c r="M768" s="2"/>
      <c r="N768" s="2"/>
      <c r="O768" s="2"/>
    </row>
    <row r="769" spans="2:15" ht="14">
      <c r="B769" s="17"/>
      <c r="C769" s="2"/>
      <c r="D769" s="2"/>
      <c r="E769" s="14"/>
      <c r="F769" s="2"/>
      <c r="G769" s="2"/>
      <c r="H769" s="2"/>
      <c r="I769" s="2"/>
      <c r="J769" s="2"/>
      <c r="K769" s="2"/>
      <c r="L769" s="2"/>
      <c r="M769" s="2"/>
      <c r="N769" s="2"/>
      <c r="O769" s="2"/>
    </row>
    <row r="770" spans="2:15" ht="14">
      <c r="B770" s="17"/>
      <c r="C770" s="2"/>
      <c r="D770" s="2"/>
      <c r="E770" s="14"/>
      <c r="F770" s="2"/>
      <c r="G770" s="2"/>
      <c r="H770" s="2"/>
      <c r="I770" s="2"/>
      <c r="J770" s="2"/>
      <c r="K770" s="2"/>
      <c r="L770" s="2"/>
      <c r="M770" s="2"/>
      <c r="N770" s="2"/>
      <c r="O770" s="2"/>
    </row>
    <row r="771" spans="2:15" ht="14">
      <c r="B771" s="17"/>
      <c r="C771" s="2"/>
      <c r="D771" s="2"/>
      <c r="E771" s="14"/>
      <c r="F771" s="2"/>
      <c r="G771" s="2"/>
      <c r="H771" s="2"/>
      <c r="I771" s="2"/>
      <c r="J771" s="2"/>
      <c r="K771" s="2"/>
      <c r="L771" s="2"/>
      <c r="M771" s="2"/>
      <c r="N771" s="2"/>
      <c r="O771" s="2"/>
    </row>
    <row r="772" spans="2:15" ht="14">
      <c r="B772" s="17"/>
      <c r="C772" s="2"/>
      <c r="D772" s="2"/>
      <c r="E772" s="14"/>
      <c r="F772" s="2"/>
      <c r="G772" s="2"/>
      <c r="H772" s="2"/>
      <c r="I772" s="2"/>
      <c r="J772" s="2"/>
      <c r="K772" s="2"/>
      <c r="L772" s="2"/>
      <c r="M772" s="2"/>
      <c r="N772" s="2"/>
      <c r="O772" s="2"/>
    </row>
    <row r="773" spans="2:15" ht="14">
      <c r="B773" s="17"/>
      <c r="C773" s="2"/>
      <c r="D773" s="2"/>
      <c r="E773" s="14"/>
      <c r="F773" s="2"/>
      <c r="G773" s="2"/>
      <c r="H773" s="2"/>
      <c r="I773" s="2"/>
      <c r="J773" s="2"/>
      <c r="K773" s="2"/>
      <c r="L773" s="2"/>
      <c r="M773" s="2"/>
      <c r="N773" s="2"/>
      <c r="O773" s="2"/>
    </row>
    <row r="774" spans="2:15" ht="14">
      <c r="B774" s="17"/>
      <c r="C774" s="2"/>
      <c r="D774" s="2"/>
      <c r="E774" s="14"/>
      <c r="F774" s="2"/>
      <c r="G774" s="2"/>
      <c r="H774" s="2"/>
      <c r="I774" s="2"/>
      <c r="J774" s="2"/>
      <c r="K774" s="2"/>
      <c r="L774" s="2"/>
      <c r="M774" s="2"/>
      <c r="N774" s="2"/>
      <c r="O774" s="2"/>
    </row>
    <row r="775" spans="2:15" ht="14">
      <c r="B775" s="17"/>
      <c r="C775" s="2"/>
      <c r="D775" s="2"/>
      <c r="E775" s="14"/>
      <c r="F775" s="2"/>
      <c r="G775" s="2"/>
      <c r="H775" s="2"/>
      <c r="I775" s="2"/>
      <c r="J775" s="2"/>
      <c r="K775" s="2"/>
      <c r="L775" s="2"/>
      <c r="M775" s="2"/>
      <c r="N775" s="2"/>
      <c r="O775" s="2"/>
    </row>
    <row r="776" spans="2:15" ht="14">
      <c r="B776" s="17"/>
      <c r="C776" s="2"/>
      <c r="D776" s="2"/>
      <c r="E776" s="14"/>
      <c r="F776" s="2"/>
      <c r="G776" s="2"/>
      <c r="H776" s="2"/>
      <c r="I776" s="2"/>
      <c r="J776" s="2"/>
      <c r="K776" s="2"/>
      <c r="L776" s="2"/>
      <c r="M776" s="2"/>
      <c r="N776" s="2"/>
      <c r="O776" s="2"/>
    </row>
    <row r="777" spans="2:15" ht="14">
      <c r="B777" s="17"/>
      <c r="C777" s="2"/>
      <c r="D777" s="2"/>
      <c r="E777" s="14"/>
      <c r="F777" s="2"/>
      <c r="G777" s="2"/>
      <c r="H777" s="2"/>
      <c r="I777" s="2"/>
      <c r="J777" s="2"/>
      <c r="K777" s="2"/>
      <c r="L777" s="2"/>
      <c r="M777" s="2"/>
      <c r="N777" s="2"/>
      <c r="O777" s="2"/>
    </row>
    <row r="778" spans="2:15" ht="14">
      <c r="B778" s="17"/>
      <c r="C778" s="2"/>
      <c r="D778" s="2"/>
      <c r="E778" s="14"/>
      <c r="F778" s="2"/>
      <c r="G778" s="2"/>
      <c r="H778" s="2"/>
      <c r="I778" s="2"/>
      <c r="J778" s="2"/>
      <c r="K778" s="2"/>
      <c r="L778" s="2"/>
      <c r="M778" s="2"/>
      <c r="N778" s="2"/>
      <c r="O778" s="2"/>
    </row>
    <row r="779" spans="2:15" ht="14">
      <c r="B779" s="17"/>
      <c r="C779" s="2"/>
      <c r="D779" s="2"/>
      <c r="E779" s="14"/>
      <c r="F779" s="2"/>
      <c r="G779" s="2"/>
      <c r="H779" s="2"/>
      <c r="I779" s="2"/>
      <c r="J779" s="2"/>
      <c r="K779" s="2"/>
      <c r="L779" s="2"/>
      <c r="M779" s="2"/>
      <c r="N779" s="2"/>
      <c r="O779" s="2"/>
    </row>
    <row r="780" spans="2:15" ht="14">
      <c r="B780" s="17"/>
      <c r="C780" s="2"/>
      <c r="D780" s="2"/>
      <c r="E780" s="14"/>
      <c r="F780" s="2"/>
      <c r="G780" s="2"/>
      <c r="H780" s="2"/>
      <c r="I780" s="2"/>
      <c r="J780" s="2"/>
      <c r="K780" s="2"/>
      <c r="L780" s="2"/>
      <c r="M780" s="2"/>
      <c r="N780" s="2"/>
      <c r="O780" s="2"/>
    </row>
    <row r="781" spans="2:15" ht="14">
      <c r="B781" s="17"/>
      <c r="C781" s="2"/>
      <c r="D781" s="2"/>
      <c r="E781" s="14"/>
      <c r="F781" s="2"/>
      <c r="G781" s="2"/>
      <c r="H781" s="2"/>
      <c r="I781" s="2"/>
      <c r="J781" s="2"/>
      <c r="K781" s="2"/>
      <c r="L781" s="2"/>
      <c r="M781" s="2"/>
      <c r="N781" s="2"/>
      <c r="O781" s="2"/>
    </row>
    <row r="782" spans="2:15" ht="14">
      <c r="B782" s="17"/>
      <c r="C782" s="2"/>
      <c r="D782" s="2"/>
      <c r="E782" s="14"/>
      <c r="F782" s="2"/>
      <c r="G782" s="2"/>
      <c r="H782" s="2"/>
      <c r="I782" s="2"/>
      <c r="J782" s="2"/>
      <c r="K782" s="2"/>
      <c r="L782" s="2"/>
      <c r="M782" s="2"/>
      <c r="N782" s="2"/>
      <c r="O782" s="2"/>
    </row>
    <row r="783" spans="2:15" ht="14">
      <c r="B783" s="17"/>
      <c r="C783" s="2"/>
      <c r="D783" s="2"/>
      <c r="E783" s="14"/>
      <c r="F783" s="2"/>
      <c r="G783" s="2"/>
      <c r="H783" s="2"/>
      <c r="I783" s="2"/>
      <c r="J783" s="2"/>
      <c r="K783" s="2"/>
      <c r="L783" s="2"/>
      <c r="M783" s="2"/>
      <c r="N783" s="2"/>
      <c r="O783" s="2"/>
    </row>
    <row r="784" spans="2:15" ht="14">
      <c r="B784" s="17"/>
      <c r="C784" s="2"/>
      <c r="D784" s="2"/>
      <c r="E784" s="14"/>
      <c r="F784" s="2"/>
      <c r="G784" s="2"/>
      <c r="H784" s="2"/>
      <c r="I784" s="2"/>
      <c r="J784" s="2"/>
      <c r="K784" s="2"/>
      <c r="L784" s="2"/>
      <c r="M784" s="2"/>
      <c r="N784" s="2"/>
      <c r="O784" s="2"/>
    </row>
    <row r="785" spans="2:15" ht="14">
      <c r="B785" s="17"/>
      <c r="C785" s="2"/>
      <c r="D785" s="2"/>
      <c r="E785" s="14"/>
      <c r="F785" s="2"/>
      <c r="G785" s="2"/>
      <c r="H785" s="2"/>
      <c r="I785" s="2"/>
      <c r="J785" s="2"/>
      <c r="K785" s="2"/>
      <c r="L785" s="2"/>
      <c r="M785" s="2"/>
      <c r="N785" s="2"/>
      <c r="O785" s="2"/>
    </row>
    <row r="786" spans="2:15" ht="14">
      <c r="B786" s="17"/>
      <c r="C786" s="2"/>
      <c r="D786" s="2"/>
      <c r="E786" s="14"/>
      <c r="F786" s="2"/>
      <c r="G786" s="2"/>
      <c r="H786" s="2"/>
      <c r="I786" s="2"/>
      <c r="J786" s="2"/>
      <c r="K786" s="2"/>
      <c r="L786" s="2"/>
      <c r="M786" s="2"/>
      <c r="N786" s="2"/>
      <c r="O786" s="2"/>
    </row>
    <row r="787" spans="2:15" ht="14">
      <c r="B787" s="17"/>
      <c r="C787" s="2"/>
      <c r="D787" s="2"/>
      <c r="E787" s="14"/>
      <c r="F787" s="2"/>
      <c r="G787" s="2"/>
      <c r="H787" s="2"/>
      <c r="I787" s="2"/>
      <c r="J787" s="2"/>
      <c r="K787" s="2"/>
      <c r="L787" s="2"/>
      <c r="M787" s="2"/>
      <c r="N787" s="2"/>
      <c r="O787" s="2"/>
    </row>
    <row r="788" spans="2:15" ht="14">
      <c r="B788" s="17"/>
      <c r="C788" s="2"/>
      <c r="D788" s="2"/>
      <c r="E788" s="14"/>
      <c r="F788" s="2"/>
      <c r="G788" s="2"/>
      <c r="H788" s="2"/>
      <c r="I788" s="2"/>
      <c r="J788" s="2"/>
      <c r="K788" s="2"/>
      <c r="L788" s="2"/>
      <c r="M788" s="2"/>
      <c r="N788" s="2"/>
      <c r="O788" s="2"/>
    </row>
    <row r="789" spans="2:15" ht="14">
      <c r="B789" s="17"/>
      <c r="C789" s="2"/>
      <c r="D789" s="2"/>
      <c r="E789" s="14"/>
      <c r="F789" s="2"/>
      <c r="G789" s="2"/>
      <c r="H789" s="2"/>
      <c r="I789" s="2"/>
      <c r="J789" s="2"/>
      <c r="K789" s="2"/>
      <c r="L789" s="2"/>
      <c r="M789" s="2"/>
      <c r="N789" s="2"/>
      <c r="O789" s="2"/>
    </row>
    <row r="790" spans="2:15" ht="14">
      <c r="B790" s="17"/>
      <c r="C790" s="2"/>
      <c r="D790" s="2"/>
      <c r="E790" s="14"/>
      <c r="F790" s="2"/>
      <c r="G790" s="2"/>
      <c r="H790" s="2"/>
      <c r="I790" s="2"/>
      <c r="J790" s="2"/>
      <c r="K790" s="2"/>
      <c r="L790" s="2"/>
      <c r="M790" s="2"/>
      <c r="N790" s="2"/>
      <c r="O790" s="2"/>
    </row>
    <row r="791" spans="2:15" ht="14">
      <c r="B791" s="17"/>
      <c r="C791" s="2"/>
      <c r="D791" s="2"/>
      <c r="E791" s="14"/>
      <c r="F791" s="2"/>
      <c r="G791" s="2"/>
      <c r="H791" s="2"/>
      <c r="I791" s="2"/>
      <c r="J791" s="2"/>
      <c r="K791" s="2"/>
      <c r="L791" s="2"/>
      <c r="M791" s="2"/>
      <c r="N791" s="2"/>
      <c r="O791" s="2"/>
    </row>
    <row r="792" spans="2:15" ht="14">
      <c r="B792" s="17"/>
      <c r="C792" s="2"/>
      <c r="D792" s="2"/>
      <c r="E792" s="14"/>
      <c r="F792" s="2"/>
      <c r="G792" s="2"/>
      <c r="H792" s="2"/>
      <c r="I792" s="2"/>
      <c r="J792" s="2"/>
      <c r="K792" s="2"/>
      <c r="L792" s="2"/>
      <c r="M792" s="2"/>
      <c r="N792" s="2"/>
      <c r="O792" s="2"/>
    </row>
    <row r="793" spans="2:15" ht="14">
      <c r="B793" s="17"/>
      <c r="C793" s="2"/>
      <c r="D793" s="2"/>
      <c r="E793" s="14"/>
      <c r="F793" s="2"/>
      <c r="G793" s="2"/>
      <c r="H793" s="2"/>
      <c r="I793" s="2"/>
      <c r="J793" s="2"/>
      <c r="K793" s="2"/>
      <c r="L793" s="2"/>
      <c r="M793" s="2"/>
      <c r="N793" s="2"/>
      <c r="O793" s="2"/>
    </row>
    <row r="794" spans="2:15" ht="14">
      <c r="B794" s="17"/>
      <c r="C794" s="2"/>
      <c r="D794" s="2"/>
      <c r="E794" s="14"/>
      <c r="F794" s="2"/>
      <c r="G794" s="2"/>
      <c r="H794" s="2"/>
      <c r="I794" s="2"/>
      <c r="J794" s="2"/>
      <c r="K794" s="2"/>
      <c r="L794" s="2"/>
      <c r="M794" s="2"/>
      <c r="N794" s="2"/>
      <c r="O794" s="2"/>
    </row>
    <row r="795" spans="2:15" ht="14">
      <c r="B795" s="17"/>
      <c r="C795" s="2"/>
      <c r="D795" s="2"/>
      <c r="E795" s="14"/>
      <c r="F795" s="2"/>
      <c r="G795" s="2"/>
      <c r="H795" s="2"/>
      <c r="I795" s="2"/>
      <c r="J795" s="2"/>
      <c r="K795" s="2"/>
      <c r="L795" s="2"/>
      <c r="M795" s="2"/>
      <c r="N795" s="2"/>
      <c r="O795" s="2"/>
    </row>
    <row r="796" spans="2:15" ht="14">
      <c r="B796" s="17"/>
      <c r="C796" s="2"/>
      <c r="D796" s="2"/>
      <c r="E796" s="14"/>
      <c r="F796" s="2"/>
      <c r="G796" s="2"/>
      <c r="H796" s="2"/>
      <c r="I796" s="2"/>
      <c r="J796" s="2"/>
      <c r="K796" s="2"/>
      <c r="L796" s="2"/>
      <c r="M796" s="2"/>
      <c r="N796" s="2"/>
      <c r="O796" s="2"/>
    </row>
    <row r="797" spans="2:15" ht="14">
      <c r="B797" s="17"/>
      <c r="C797" s="2"/>
      <c r="D797" s="2"/>
      <c r="E797" s="14"/>
      <c r="F797" s="2"/>
      <c r="G797" s="2"/>
      <c r="H797" s="2"/>
      <c r="I797" s="2"/>
      <c r="J797" s="2"/>
      <c r="K797" s="2"/>
      <c r="L797" s="2"/>
      <c r="M797" s="2"/>
      <c r="N797" s="2"/>
      <c r="O797" s="2"/>
    </row>
    <row r="798" spans="2:15" ht="14">
      <c r="B798" s="17"/>
      <c r="C798" s="2"/>
      <c r="D798" s="2"/>
      <c r="E798" s="14"/>
      <c r="F798" s="2"/>
      <c r="G798" s="2"/>
      <c r="H798" s="2"/>
      <c r="I798" s="2"/>
      <c r="J798" s="2"/>
      <c r="K798" s="2"/>
      <c r="L798" s="2"/>
      <c r="M798" s="2"/>
      <c r="N798" s="2"/>
      <c r="O798" s="2"/>
    </row>
    <row r="799" spans="2:15" ht="14">
      <c r="B799" s="17"/>
      <c r="C799" s="2"/>
      <c r="D799" s="2"/>
      <c r="E799" s="14"/>
      <c r="F799" s="2"/>
      <c r="G799" s="2"/>
      <c r="H799" s="2"/>
      <c r="I799" s="2"/>
      <c r="J799" s="2"/>
      <c r="K799" s="2"/>
      <c r="L799" s="2"/>
      <c r="M799" s="2"/>
      <c r="N799" s="2"/>
      <c r="O799" s="2"/>
    </row>
    <row r="800" spans="2:15" ht="14">
      <c r="B800" s="17"/>
      <c r="C800" s="2"/>
      <c r="D800" s="2"/>
      <c r="E800" s="14"/>
      <c r="F800" s="2"/>
      <c r="G800" s="2"/>
      <c r="H800" s="2"/>
      <c r="I800" s="2"/>
      <c r="J800" s="2"/>
      <c r="K800" s="2"/>
      <c r="L800" s="2"/>
      <c r="M800" s="2"/>
      <c r="N800" s="2"/>
      <c r="O800" s="2"/>
    </row>
    <row r="801" spans="2:15" ht="14">
      <c r="B801" s="17"/>
      <c r="C801" s="2"/>
      <c r="D801" s="2"/>
      <c r="E801" s="14"/>
      <c r="F801" s="2"/>
      <c r="G801" s="2"/>
      <c r="H801" s="2"/>
      <c r="I801" s="2"/>
      <c r="J801" s="2"/>
      <c r="K801" s="2"/>
      <c r="L801" s="2"/>
      <c r="M801" s="2"/>
      <c r="N801" s="2"/>
      <c r="O801" s="2"/>
    </row>
    <row r="802" spans="2:15" ht="14">
      <c r="B802" s="17"/>
      <c r="C802" s="2"/>
      <c r="D802" s="2"/>
      <c r="E802" s="14"/>
      <c r="F802" s="2"/>
      <c r="G802" s="2"/>
      <c r="H802" s="2"/>
      <c r="I802" s="2"/>
      <c r="J802" s="2"/>
      <c r="K802" s="2"/>
      <c r="L802" s="2"/>
      <c r="M802" s="2"/>
      <c r="N802" s="2"/>
      <c r="O802" s="2"/>
    </row>
    <row r="803" spans="2:15" ht="14">
      <c r="B803" s="17"/>
      <c r="C803" s="2"/>
      <c r="D803" s="2"/>
      <c r="E803" s="14"/>
      <c r="F803" s="2"/>
      <c r="G803" s="2"/>
      <c r="H803" s="2"/>
      <c r="I803" s="2"/>
      <c r="J803" s="2"/>
      <c r="K803" s="2"/>
      <c r="L803" s="2"/>
      <c r="M803" s="2"/>
      <c r="N803" s="2"/>
      <c r="O803" s="2"/>
    </row>
    <row r="804" spans="2:15" ht="14">
      <c r="B804" s="17"/>
      <c r="C804" s="2"/>
      <c r="D804" s="2"/>
      <c r="E804" s="14"/>
      <c r="F804" s="2"/>
      <c r="G804" s="2"/>
      <c r="H804" s="2"/>
      <c r="I804" s="2"/>
      <c r="J804" s="2"/>
      <c r="K804" s="2"/>
      <c r="L804" s="2"/>
      <c r="M804" s="2"/>
      <c r="N804" s="2"/>
      <c r="O804" s="2"/>
    </row>
    <row r="805" spans="2:15" ht="14">
      <c r="B805" s="17"/>
      <c r="C805" s="2"/>
      <c r="D805" s="2"/>
      <c r="E805" s="14"/>
      <c r="F805" s="2"/>
      <c r="G805" s="2"/>
      <c r="H805" s="2"/>
      <c r="I805" s="2"/>
      <c r="J805" s="2"/>
      <c r="K805" s="2"/>
      <c r="L805" s="2"/>
      <c r="M805" s="2"/>
      <c r="N805" s="2"/>
      <c r="O805" s="2"/>
    </row>
    <row r="806" spans="2:15" ht="14">
      <c r="B806" s="17"/>
      <c r="C806" s="2"/>
      <c r="D806" s="2"/>
      <c r="E806" s="14"/>
      <c r="F806" s="2"/>
      <c r="G806" s="2"/>
      <c r="H806" s="2"/>
      <c r="I806" s="2"/>
      <c r="J806" s="2"/>
      <c r="K806" s="2"/>
      <c r="L806" s="2"/>
      <c r="M806" s="2"/>
      <c r="N806" s="2"/>
      <c r="O806" s="2"/>
    </row>
    <row r="807" spans="2:15" ht="14">
      <c r="B807" s="17"/>
      <c r="C807" s="2"/>
      <c r="D807" s="2"/>
      <c r="E807" s="14"/>
      <c r="F807" s="2"/>
      <c r="G807" s="2"/>
      <c r="H807" s="2"/>
      <c r="I807" s="2"/>
      <c r="J807" s="2"/>
      <c r="K807" s="2"/>
      <c r="L807" s="2"/>
      <c r="M807" s="2"/>
      <c r="N807" s="2"/>
      <c r="O807" s="2"/>
    </row>
    <row r="808" spans="2:15" ht="14">
      <c r="B808" s="17"/>
      <c r="C808" s="2"/>
      <c r="D808" s="2"/>
      <c r="E808" s="14"/>
      <c r="F808" s="2"/>
      <c r="G808" s="2"/>
      <c r="H808" s="2"/>
      <c r="I808" s="2"/>
      <c r="J808" s="2"/>
      <c r="K808" s="2"/>
      <c r="L808" s="2"/>
      <c r="M808" s="2"/>
      <c r="N808" s="2"/>
      <c r="O808" s="2"/>
    </row>
    <row r="809" spans="2:15" ht="14">
      <c r="B809" s="17"/>
      <c r="C809" s="2"/>
      <c r="D809" s="2"/>
      <c r="E809" s="14"/>
      <c r="F809" s="2"/>
      <c r="G809" s="2"/>
      <c r="H809" s="2"/>
      <c r="I809" s="2"/>
      <c r="J809" s="2"/>
      <c r="K809" s="2"/>
      <c r="L809" s="2"/>
      <c r="M809" s="2"/>
      <c r="N809" s="2"/>
      <c r="O809" s="2"/>
    </row>
    <row r="810" spans="2:15" ht="14">
      <c r="B810" s="17"/>
      <c r="C810" s="2"/>
      <c r="D810" s="2"/>
      <c r="E810" s="14"/>
      <c r="F810" s="2"/>
      <c r="G810" s="2"/>
      <c r="H810" s="2"/>
      <c r="I810" s="2"/>
      <c r="J810" s="2"/>
      <c r="K810" s="2"/>
      <c r="L810" s="2"/>
      <c r="M810" s="2"/>
      <c r="N810" s="2"/>
      <c r="O810" s="2"/>
    </row>
    <row r="811" spans="2:15" ht="14">
      <c r="B811" s="17"/>
      <c r="C811" s="2"/>
      <c r="D811" s="2"/>
      <c r="E811" s="14"/>
      <c r="F811" s="2"/>
      <c r="G811" s="2"/>
      <c r="H811" s="2"/>
      <c r="I811" s="2"/>
      <c r="J811" s="2"/>
      <c r="K811" s="2"/>
      <c r="L811" s="2"/>
      <c r="M811" s="2"/>
      <c r="N811" s="2"/>
      <c r="O811" s="2"/>
    </row>
    <row r="812" spans="2:15" ht="14">
      <c r="B812" s="17"/>
      <c r="C812" s="2"/>
      <c r="D812" s="2"/>
      <c r="E812" s="14"/>
      <c r="F812" s="2"/>
      <c r="G812" s="2"/>
      <c r="H812" s="2"/>
      <c r="I812" s="2"/>
      <c r="J812" s="2"/>
      <c r="K812" s="2"/>
      <c r="L812" s="2"/>
      <c r="M812" s="2"/>
      <c r="N812" s="2"/>
      <c r="O812" s="2"/>
    </row>
    <row r="813" spans="2:15" ht="14">
      <c r="B813" s="17"/>
      <c r="C813" s="2"/>
      <c r="D813" s="2"/>
      <c r="E813" s="14"/>
      <c r="F813" s="2"/>
      <c r="G813" s="2"/>
      <c r="H813" s="2"/>
      <c r="I813" s="2"/>
      <c r="J813" s="2"/>
      <c r="K813" s="2"/>
      <c r="L813" s="2"/>
      <c r="M813" s="2"/>
      <c r="N813" s="2"/>
      <c r="O813" s="2"/>
    </row>
    <row r="814" spans="2:15" ht="14">
      <c r="B814" s="17"/>
      <c r="C814" s="2"/>
      <c r="D814" s="2"/>
      <c r="E814" s="14"/>
      <c r="F814" s="2"/>
      <c r="G814" s="2"/>
      <c r="H814" s="2"/>
      <c r="I814" s="2"/>
      <c r="J814" s="2"/>
      <c r="K814" s="2"/>
      <c r="L814" s="2"/>
      <c r="M814" s="2"/>
      <c r="N814" s="2"/>
      <c r="O814" s="2"/>
    </row>
    <row r="815" spans="2:15" ht="14">
      <c r="B815" s="17"/>
      <c r="C815" s="2"/>
      <c r="D815" s="2"/>
      <c r="E815" s="14"/>
      <c r="F815" s="2"/>
      <c r="G815" s="2"/>
      <c r="H815" s="2"/>
      <c r="I815" s="2"/>
      <c r="J815" s="2"/>
      <c r="K815" s="2"/>
      <c r="L815" s="2"/>
      <c r="M815" s="2"/>
      <c r="N815" s="2"/>
      <c r="O815" s="2"/>
    </row>
    <row r="816" spans="2:15" ht="14">
      <c r="B816" s="17"/>
      <c r="C816" s="2"/>
      <c r="D816" s="2"/>
      <c r="E816" s="14"/>
      <c r="F816" s="2"/>
      <c r="G816" s="2"/>
      <c r="H816" s="2"/>
      <c r="I816" s="2"/>
      <c r="J816" s="2"/>
      <c r="K816" s="2"/>
      <c r="L816" s="2"/>
      <c r="M816" s="2"/>
      <c r="N816" s="2"/>
      <c r="O816" s="2"/>
    </row>
    <row r="817" spans="2:15" ht="14">
      <c r="B817" s="17"/>
      <c r="C817" s="2"/>
      <c r="D817" s="2"/>
      <c r="E817" s="14"/>
      <c r="F817" s="2"/>
      <c r="G817" s="2"/>
      <c r="H817" s="2"/>
      <c r="I817" s="2"/>
      <c r="J817" s="2"/>
      <c r="K817" s="2"/>
      <c r="L817" s="2"/>
      <c r="M817" s="2"/>
      <c r="N817" s="2"/>
      <c r="O817" s="2"/>
    </row>
    <row r="818" spans="2:15" ht="14">
      <c r="B818" s="17"/>
      <c r="C818" s="2"/>
      <c r="D818" s="2"/>
      <c r="E818" s="14"/>
      <c r="F818" s="2"/>
      <c r="G818" s="2"/>
      <c r="H818" s="2"/>
      <c r="I818" s="2"/>
      <c r="J818" s="2"/>
      <c r="K818" s="2"/>
      <c r="L818" s="2"/>
      <c r="M818" s="2"/>
      <c r="N818" s="2"/>
      <c r="O818" s="2"/>
    </row>
    <row r="819" spans="2:15" ht="14">
      <c r="B819" s="17"/>
      <c r="C819" s="2"/>
      <c r="D819" s="2"/>
      <c r="E819" s="14"/>
      <c r="F819" s="2"/>
      <c r="G819" s="2"/>
      <c r="H819" s="2"/>
      <c r="I819" s="2"/>
      <c r="J819" s="2"/>
      <c r="K819" s="2"/>
      <c r="L819" s="2"/>
      <c r="M819" s="2"/>
      <c r="N819" s="2"/>
      <c r="O819" s="2"/>
    </row>
    <row r="820" spans="2:15" ht="14">
      <c r="B820" s="17"/>
      <c r="C820" s="2"/>
      <c r="D820" s="2"/>
      <c r="E820" s="14"/>
      <c r="F820" s="2"/>
      <c r="G820" s="2"/>
      <c r="H820" s="2"/>
      <c r="I820" s="2"/>
      <c r="J820" s="2"/>
      <c r="K820" s="2"/>
      <c r="L820" s="2"/>
      <c r="M820" s="2"/>
      <c r="N820" s="2"/>
      <c r="O820" s="2"/>
    </row>
    <row r="821" spans="2:15" ht="14">
      <c r="B821" s="17"/>
      <c r="C821" s="2"/>
      <c r="D821" s="2"/>
      <c r="E821" s="14"/>
      <c r="F821" s="2"/>
      <c r="G821" s="2"/>
      <c r="H821" s="2"/>
      <c r="I821" s="2"/>
      <c r="J821" s="2"/>
      <c r="K821" s="2"/>
      <c r="L821" s="2"/>
      <c r="M821" s="2"/>
      <c r="N821" s="2"/>
      <c r="O821" s="2"/>
    </row>
    <row r="822" spans="2:15" ht="14">
      <c r="B822" s="17"/>
      <c r="C822" s="2"/>
      <c r="D822" s="2"/>
      <c r="E822" s="14"/>
      <c r="F822" s="2"/>
      <c r="G822" s="2"/>
      <c r="H822" s="2"/>
      <c r="I822" s="2"/>
      <c r="J822" s="2"/>
      <c r="K822" s="2"/>
      <c r="L822" s="2"/>
      <c r="M822" s="2"/>
      <c r="N822" s="2"/>
      <c r="O822" s="2"/>
    </row>
    <row r="823" spans="2:15" ht="14">
      <c r="B823" s="17"/>
      <c r="C823" s="2"/>
      <c r="D823" s="2"/>
      <c r="E823" s="14"/>
      <c r="F823" s="2"/>
      <c r="G823" s="2"/>
      <c r="H823" s="2"/>
      <c r="I823" s="2"/>
      <c r="J823" s="2"/>
      <c r="K823" s="2"/>
      <c r="L823" s="2"/>
      <c r="M823" s="2"/>
      <c r="N823" s="2"/>
      <c r="O823" s="2"/>
    </row>
    <row r="824" spans="2:15" ht="14">
      <c r="B824" s="17"/>
      <c r="C824" s="2"/>
      <c r="D824" s="2"/>
      <c r="E824" s="14"/>
      <c r="F824" s="2"/>
      <c r="G824" s="2"/>
      <c r="H824" s="2"/>
      <c r="I824" s="2"/>
      <c r="J824" s="2"/>
      <c r="K824" s="2"/>
      <c r="L824" s="2"/>
      <c r="M824" s="2"/>
      <c r="N824" s="2"/>
      <c r="O824" s="2"/>
    </row>
    <row r="825" spans="2:15" ht="14">
      <c r="B825" s="17"/>
      <c r="C825" s="2"/>
      <c r="D825" s="2"/>
      <c r="E825" s="14"/>
      <c r="F825" s="2"/>
      <c r="G825" s="2"/>
      <c r="H825" s="2"/>
      <c r="I825" s="2"/>
      <c r="J825" s="2"/>
      <c r="K825" s="2"/>
      <c r="L825" s="2"/>
      <c r="M825" s="2"/>
      <c r="N825" s="2"/>
      <c r="O825" s="2"/>
    </row>
    <row r="826" spans="2:15" ht="14">
      <c r="B826" s="17"/>
      <c r="C826" s="2"/>
      <c r="D826" s="2"/>
      <c r="E826" s="14"/>
      <c r="F826" s="2"/>
      <c r="G826" s="2"/>
      <c r="H826" s="2"/>
      <c r="I826" s="2"/>
      <c r="J826" s="2"/>
      <c r="K826" s="2"/>
      <c r="L826" s="2"/>
      <c r="M826" s="2"/>
      <c r="N826" s="2"/>
      <c r="O826" s="2"/>
    </row>
    <row r="827" spans="2:15" ht="14">
      <c r="B827" s="17"/>
      <c r="C827" s="2"/>
      <c r="D827" s="2"/>
      <c r="E827" s="14"/>
      <c r="F827" s="2"/>
      <c r="G827" s="2"/>
      <c r="H827" s="2"/>
      <c r="I827" s="2"/>
      <c r="J827" s="2"/>
      <c r="K827" s="2"/>
      <c r="L827" s="2"/>
      <c r="M827" s="2"/>
      <c r="N827" s="2"/>
      <c r="O827" s="2"/>
    </row>
    <row r="828" spans="2:15" ht="14">
      <c r="B828" s="17"/>
      <c r="C828" s="2"/>
      <c r="D828" s="2"/>
      <c r="E828" s="14"/>
      <c r="F828" s="2"/>
      <c r="G828" s="2"/>
      <c r="H828" s="2"/>
      <c r="I828" s="2"/>
      <c r="J828" s="2"/>
      <c r="K828" s="2"/>
      <c r="L828" s="2"/>
      <c r="M828" s="2"/>
      <c r="N828" s="2"/>
      <c r="O828" s="2"/>
    </row>
    <row r="829" spans="2:15" ht="14">
      <c r="B829" s="17"/>
      <c r="C829" s="2"/>
      <c r="D829" s="2"/>
      <c r="E829" s="14"/>
      <c r="F829" s="2"/>
      <c r="G829" s="2"/>
      <c r="H829" s="2"/>
      <c r="I829" s="2"/>
      <c r="J829" s="2"/>
      <c r="K829" s="2"/>
      <c r="L829" s="2"/>
      <c r="M829" s="2"/>
      <c r="N829" s="2"/>
      <c r="O829" s="2"/>
    </row>
    <row r="830" spans="2:15" ht="14">
      <c r="B830" s="17"/>
      <c r="C830" s="2"/>
      <c r="D830" s="2"/>
      <c r="E830" s="14"/>
      <c r="F830" s="2"/>
      <c r="G830" s="2"/>
      <c r="H830" s="2"/>
      <c r="I830" s="2"/>
      <c r="J830" s="2"/>
      <c r="K830" s="2"/>
      <c r="L830" s="2"/>
      <c r="M830" s="2"/>
      <c r="N830" s="2"/>
      <c r="O830" s="2"/>
    </row>
    <row r="831" spans="2:15" ht="14">
      <c r="B831" s="17"/>
      <c r="C831" s="2"/>
      <c r="D831" s="2"/>
      <c r="E831" s="14"/>
      <c r="F831" s="2"/>
      <c r="G831" s="2"/>
      <c r="H831" s="2"/>
      <c r="I831" s="2"/>
      <c r="J831" s="2"/>
      <c r="K831" s="2"/>
      <c r="L831" s="2"/>
      <c r="M831" s="2"/>
      <c r="N831" s="2"/>
      <c r="O831" s="2"/>
    </row>
    <row r="832" spans="2:15" ht="14">
      <c r="B832" s="17"/>
      <c r="C832" s="2"/>
      <c r="D832" s="2"/>
      <c r="E832" s="14"/>
      <c r="F832" s="2"/>
      <c r="G832" s="2"/>
      <c r="H832" s="2"/>
      <c r="I832" s="2"/>
      <c r="J832" s="2"/>
      <c r="K832" s="2"/>
      <c r="L832" s="2"/>
      <c r="M832" s="2"/>
      <c r="N832" s="2"/>
      <c r="O832" s="2"/>
    </row>
    <row r="833" spans="2:15" ht="14">
      <c r="B833" s="17"/>
      <c r="C833" s="2"/>
      <c r="D833" s="2"/>
      <c r="E833" s="14"/>
      <c r="F833" s="2"/>
      <c r="G833" s="2"/>
      <c r="H833" s="2"/>
      <c r="I833" s="2"/>
      <c r="J833" s="2"/>
      <c r="K833" s="2"/>
      <c r="L833" s="2"/>
      <c r="M833" s="2"/>
      <c r="N833" s="2"/>
      <c r="O833" s="2"/>
    </row>
    <row r="834" spans="2:15" ht="14">
      <c r="B834" s="17"/>
      <c r="C834" s="2"/>
      <c r="D834" s="2"/>
      <c r="E834" s="14"/>
      <c r="F834" s="2"/>
      <c r="G834" s="2"/>
      <c r="H834" s="2"/>
      <c r="I834" s="2"/>
      <c r="J834" s="2"/>
      <c r="K834" s="2"/>
      <c r="L834" s="2"/>
      <c r="M834" s="2"/>
      <c r="N834" s="2"/>
      <c r="O834" s="2"/>
    </row>
    <row r="835" spans="2:15" ht="14">
      <c r="B835" s="17"/>
      <c r="C835" s="2"/>
      <c r="D835" s="2"/>
      <c r="E835" s="14"/>
      <c r="F835" s="2"/>
      <c r="G835" s="2"/>
      <c r="H835" s="2"/>
      <c r="I835" s="2"/>
      <c r="J835" s="2"/>
      <c r="K835" s="2"/>
      <c r="L835" s="2"/>
      <c r="M835" s="2"/>
      <c r="N835" s="2"/>
      <c r="O835" s="2"/>
    </row>
    <row r="836" spans="2:15" ht="14">
      <c r="B836" s="17"/>
      <c r="C836" s="2"/>
      <c r="D836" s="2"/>
      <c r="E836" s="14"/>
      <c r="F836" s="2"/>
      <c r="G836" s="2"/>
      <c r="H836" s="2"/>
      <c r="I836" s="2"/>
      <c r="J836" s="2"/>
      <c r="K836" s="2"/>
      <c r="L836" s="2"/>
      <c r="M836" s="2"/>
      <c r="N836" s="2"/>
      <c r="O836" s="2"/>
    </row>
    <row r="837" spans="2:15" ht="14">
      <c r="B837" s="17"/>
      <c r="C837" s="2"/>
      <c r="D837" s="2"/>
      <c r="E837" s="14"/>
      <c r="F837" s="2"/>
      <c r="G837" s="2"/>
      <c r="H837" s="2"/>
      <c r="I837" s="2"/>
      <c r="J837" s="2"/>
      <c r="K837" s="2"/>
      <c r="L837" s="2"/>
      <c r="M837" s="2"/>
      <c r="N837" s="2"/>
      <c r="O837" s="2"/>
    </row>
    <row r="838" spans="2:15" ht="14">
      <c r="B838" s="17"/>
      <c r="C838" s="2"/>
      <c r="D838" s="2"/>
      <c r="E838" s="14"/>
      <c r="F838" s="2"/>
      <c r="G838" s="2"/>
      <c r="H838" s="2"/>
      <c r="I838" s="2"/>
      <c r="J838" s="2"/>
      <c r="K838" s="2"/>
      <c r="L838" s="2"/>
      <c r="M838" s="2"/>
      <c r="N838" s="2"/>
      <c r="O838" s="2"/>
    </row>
    <row r="839" spans="2:15" ht="14">
      <c r="B839" s="17"/>
      <c r="C839" s="2"/>
      <c r="D839" s="2"/>
      <c r="E839" s="14"/>
      <c r="F839" s="2"/>
      <c r="G839" s="2"/>
      <c r="H839" s="2"/>
      <c r="I839" s="2"/>
      <c r="J839" s="2"/>
      <c r="K839" s="2"/>
      <c r="L839" s="2"/>
      <c r="M839" s="2"/>
      <c r="N839" s="2"/>
      <c r="O839" s="2"/>
    </row>
    <row r="840" spans="2:15" ht="14">
      <c r="B840" s="17"/>
      <c r="C840" s="2"/>
      <c r="D840" s="2"/>
      <c r="E840" s="14"/>
      <c r="F840" s="2"/>
      <c r="G840" s="2"/>
      <c r="H840" s="2"/>
      <c r="I840" s="2"/>
      <c r="J840" s="2"/>
      <c r="K840" s="2"/>
      <c r="L840" s="2"/>
      <c r="M840" s="2"/>
      <c r="N840" s="2"/>
      <c r="O840" s="2"/>
    </row>
    <row r="841" spans="2:15" ht="14">
      <c r="B841" s="17"/>
      <c r="C841" s="2"/>
      <c r="D841" s="2"/>
      <c r="E841" s="14"/>
      <c r="F841" s="2"/>
      <c r="G841" s="2"/>
      <c r="H841" s="2"/>
      <c r="I841" s="2"/>
      <c r="J841" s="2"/>
      <c r="K841" s="2"/>
      <c r="L841" s="2"/>
      <c r="M841" s="2"/>
      <c r="N841" s="2"/>
      <c r="O841" s="2"/>
    </row>
    <row r="842" spans="2:15" ht="14">
      <c r="B842" s="17"/>
      <c r="C842" s="2"/>
      <c r="D842" s="2"/>
      <c r="E842" s="14"/>
      <c r="F842" s="2"/>
      <c r="G842" s="2"/>
      <c r="H842" s="2"/>
      <c r="I842" s="2"/>
      <c r="J842" s="2"/>
      <c r="K842" s="2"/>
      <c r="L842" s="2"/>
      <c r="M842" s="2"/>
      <c r="N842" s="2"/>
      <c r="O842" s="2"/>
    </row>
    <row r="843" spans="2:15" ht="14">
      <c r="B843" s="17"/>
      <c r="C843" s="2"/>
      <c r="D843" s="2"/>
      <c r="E843" s="14"/>
      <c r="F843" s="2"/>
      <c r="G843" s="2"/>
      <c r="H843" s="2"/>
      <c r="I843" s="2"/>
      <c r="J843" s="2"/>
      <c r="K843" s="2"/>
      <c r="L843" s="2"/>
      <c r="M843" s="2"/>
      <c r="N843" s="2"/>
      <c r="O843" s="2"/>
    </row>
    <row r="844" spans="2:15" ht="14">
      <c r="B844" s="17"/>
      <c r="C844" s="2"/>
      <c r="D844" s="2"/>
      <c r="E844" s="14"/>
      <c r="F844" s="2"/>
      <c r="G844" s="2"/>
      <c r="H844" s="2"/>
      <c r="I844" s="2"/>
      <c r="J844" s="2"/>
      <c r="K844" s="2"/>
      <c r="L844" s="2"/>
      <c r="M844" s="2"/>
      <c r="N844" s="2"/>
      <c r="O844" s="2"/>
    </row>
    <row r="845" spans="2:15" ht="14">
      <c r="B845" s="17"/>
      <c r="C845" s="2"/>
      <c r="D845" s="2"/>
      <c r="E845" s="14"/>
      <c r="F845" s="2"/>
      <c r="G845" s="2"/>
      <c r="H845" s="2"/>
      <c r="I845" s="2"/>
      <c r="J845" s="2"/>
      <c r="K845" s="2"/>
      <c r="L845" s="2"/>
      <c r="M845" s="2"/>
      <c r="N845" s="2"/>
      <c r="O845" s="2"/>
    </row>
    <row r="846" spans="2:15" ht="14">
      <c r="B846" s="17"/>
      <c r="C846" s="2"/>
      <c r="D846" s="2"/>
      <c r="E846" s="14"/>
      <c r="F846" s="2"/>
      <c r="G846" s="2"/>
      <c r="H846" s="2"/>
      <c r="I846" s="2"/>
      <c r="J846" s="2"/>
      <c r="K846" s="2"/>
      <c r="L846" s="2"/>
      <c r="M846" s="2"/>
      <c r="N846" s="2"/>
      <c r="O846" s="2"/>
    </row>
    <row r="847" spans="2:15" ht="14">
      <c r="B847" s="17"/>
      <c r="C847" s="2"/>
      <c r="D847" s="2"/>
      <c r="E847" s="14"/>
      <c r="F847" s="2"/>
      <c r="G847" s="2"/>
      <c r="H847" s="2"/>
      <c r="I847" s="2"/>
      <c r="J847" s="2"/>
      <c r="K847" s="2"/>
      <c r="L847" s="2"/>
      <c r="M847" s="2"/>
      <c r="N847" s="2"/>
      <c r="O847" s="2"/>
    </row>
    <row r="848" spans="2:15" ht="14">
      <c r="B848" s="17"/>
      <c r="C848" s="2"/>
      <c r="D848" s="2"/>
      <c r="E848" s="14"/>
      <c r="F848" s="2"/>
      <c r="G848" s="2"/>
      <c r="H848" s="2"/>
      <c r="I848" s="2"/>
      <c r="J848" s="2"/>
      <c r="K848" s="2"/>
      <c r="L848" s="2"/>
      <c r="M848" s="2"/>
      <c r="N848" s="2"/>
      <c r="O848" s="2"/>
    </row>
    <row r="849" spans="2:15" ht="14">
      <c r="B849" s="17"/>
      <c r="C849" s="2"/>
      <c r="D849" s="2"/>
      <c r="E849" s="14"/>
      <c r="F849" s="2"/>
      <c r="G849" s="2"/>
      <c r="H849" s="2"/>
      <c r="I849" s="2"/>
      <c r="J849" s="2"/>
      <c r="K849" s="2"/>
      <c r="L849" s="2"/>
      <c r="M849" s="2"/>
      <c r="N849" s="2"/>
      <c r="O849" s="2"/>
    </row>
    <row r="850" spans="2:15" ht="14">
      <c r="B850" s="17"/>
      <c r="C850" s="2"/>
      <c r="D850" s="2"/>
      <c r="E850" s="14"/>
      <c r="F850" s="2"/>
      <c r="G850" s="2"/>
      <c r="H850" s="2"/>
      <c r="I850" s="2"/>
      <c r="J850" s="2"/>
      <c r="K850" s="2"/>
      <c r="L850" s="2"/>
      <c r="M850" s="2"/>
      <c r="N850" s="2"/>
      <c r="O850" s="2"/>
    </row>
    <row r="851" spans="2:15" ht="14">
      <c r="B851" s="17"/>
      <c r="C851" s="2"/>
      <c r="D851" s="2"/>
      <c r="E851" s="14"/>
      <c r="F851" s="2"/>
      <c r="G851" s="2"/>
      <c r="H851" s="2"/>
      <c r="I851" s="2"/>
      <c r="J851" s="2"/>
      <c r="K851" s="2"/>
      <c r="L851" s="2"/>
      <c r="M851" s="2"/>
      <c r="N851" s="2"/>
      <c r="O851" s="2"/>
    </row>
    <row r="852" spans="2:15" ht="14">
      <c r="B852" s="17"/>
      <c r="C852" s="2"/>
      <c r="D852" s="2"/>
      <c r="E852" s="14"/>
      <c r="F852" s="2"/>
      <c r="G852" s="2"/>
      <c r="H852" s="2"/>
      <c r="I852" s="2"/>
      <c r="J852" s="2"/>
      <c r="K852" s="2"/>
      <c r="L852" s="2"/>
      <c r="M852" s="2"/>
      <c r="N852" s="2"/>
      <c r="O852" s="2"/>
    </row>
    <row r="853" spans="2:15" ht="14">
      <c r="B853" s="17"/>
      <c r="C853" s="2"/>
      <c r="D853" s="2"/>
      <c r="E853" s="14"/>
      <c r="F853" s="2"/>
      <c r="G853" s="2"/>
      <c r="H853" s="2"/>
      <c r="I853" s="2"/>
      <c r="J853" s="2"/>
      <c r="K853" s="2"/>
      <c r="L853" s="2"/>
      <c r="M853" s="2"/>
      <c r="N853" s="2"/>
      <c r="O853" s="2"/>
    </row>
    <row r="854" spans="2:15" ht="14">
      <c r="B854" s="17"/>
      <c r="C854" s="2"/>
      <c r="D854" s="2"/>
      <c r="E854" s="14"/>
      <c r="F854" s="2"/>
      <c r="G854" s="2"/>
      <c r="H854" s="2"/>
      <c r="I854" s="2"/>
      <c r="J854" s="2"/>
      <c r="K854" s="2"/>
      <c r="L854" s="2"/>
      <c r="M854" s="2"/>
      <c r="N854" s="2"/>
      <c r="O854" s="2"/>
    </row>
    <row r="855" spans="2:15" ht="14">
      <c r="B855" s="17"/>
      <c r="C855" s="2"/>
      <c r="D855" s="2"/>
      <c r="E855" s="14"/>
      <c r="F855" s="2"/>
      <c r="G855" s="2"/>
      <c r="H855" s="2"/>
      <c r="I855" s="2"/>
      <c r="J855" s="2"/>
      <c r="K855" s="2"/>
      <c r="L855" s="2"/>
      <c r="M855" s="2"/>
      <c r="N855" s="2"/>
      <c r="O855" s="2"/>
    </row>
    <row r="856" spans="2:15" ht="14">
      <c r="B856" s="17"/>
      <c r="C856" s="2"/>
      <c r="D856" s="2"/>
      <c r="E856" s="14"/>
      <c r="F856" s="2"/>
      <c r="G856" s="2"/>
      <c r="H856" s="2"/>
      <c r="I856" s="2"/>
      <c r="J856" s="2"/>
      <c r="K856" s="2"/>
      <c r="L856" s="2"/>
      <c r="M856" s="2"/>
      <c r="N856" s="2"/>
      <c r="O856" s="2"/>
    </row>
    <row r="857" spans="2:15" ht="14">
      <c r="B857" s="17"/>
      <c r="C857" s="2"/>
      <c r="D857" s="2"/>
      <c r="E857" s="14"/>
      <c r="F857" s="2"/>
      <c r="G857" s="2"/>
      <c r="H857" s="2"/>
      <c r="I857" s="2"/>
      <c r="J857" s="2"/>
      <c r="K857" s="2"/>
      <c r="L857" s="2"/>
      <c r="M857" s="2"/>
      <c r="N857" s="2"/>
      <c r="O857" s="2"/>
    </row>
    <row r="858" spans="2:15" ht="14">
      <c r="B858" s="17"/>
      <c r="C858" s="2"/>
      <c r="D858" s="2"/>
      <c r="E858" s="14"/>
      <c r="F858" s="2"/>
      <c r="G858" s="2"/>
      <c r="H858" s="2"/>
      <c r="I858" s="2"/>
      <c r="J858" s="2"/>
      <c r="K858" s="2"/>
      <c r="L858" s="2"/>
      <c r="M858" s="2"/>
      <c r="N858" s="2"/>
      <c r="O858" s="2"/>
    </row>
    <row r="859" spans="2:15" ht="14">
      <c r="B859" s="17"/>
      <c r="C859" s="2"/>
      <c r="D859" s="2"/>
      <c r="E859" s="14"/>
      <c r="F859" s="2"/>
      <c r="G859" s="2"/>
      <c r="H859" s="2"/>
      <c r="I859" s="2"/>
      <c r="J859" s="2"/>
      <c r="K859" s="2"/>
      <c r="L859" s="2"/>
      <c r="M859" s="2"/>
      <c r="N859" s="2"/>
      <c r="O859" s="2"/>
    </row>
    <row r="860" spans="2:15" ht="14">
      <c r="B860" s="17"/>
      <c r="C860" s="2"/>
      <c r="D860" s="2"/>
      <c r="E860" s="14"/>
      <c r="F860" s="2"/>
      <c r="G860" s="2"/>
      <c r="H860" s="2"/>
      <c r="I860" s="2"/>
      <c r="J860" s="2"/>
      <c r="K860" s="2"/>
      <c r="L860" s="2"/>
      <c r="M860" s="2"/>
      <c r="N860" s="2"/>
      <c r="O860" s="2"/>
    </row>
    <row r="861" spans="2:15" ht="14">
      <c r="B861" s="17"/>
      <c r="C861" s="2"/>
      <c r="D861" s="2"/>
      <c r="E861" s="14"/>
      <c r="F861" s="2"/>
      <c r="G861" s="2"/>
      <c r="H861" s="2"/>
      <c r="I861" s="2"/>
      <c r="J861" s="2"/>
      <c r="K861" s="2"/>
      <c r="L861" s="2"/>
      <c r="M861" s="2"/>
      <c r="N861" s="2"/>
      <c r="O861" s="2"/>
    </row>
    <row r="862" spans="2:15" ht="14">
      <c r="B862" s="17"/>
      <c r="C862" s="2"/>
      <c r="D862" s="2"/>
      <c r="E862" s="14"/>
      <c r="F862" s="2"/>
      <c r="G862" s="2"/>
      <c r="H862" s="2"/>
      <c r="I862" s="2"/>
      <c r="J862" s="2"/>
      <c r="K862" s="2"/>
      <c r="L862" s="2"/>
      <c r="M862" s="2"/>
      <c r="N862" s="2"/>
      <c r="O862" s="2"/>
    </row>
    <row r="863" spans="2:15" ht="14">
      <c r="B863" s="17"/>
      <c r="C863" s="2"/>
      <c r="D863" s="2"/>
      <c r="E863" s="14"/>
      <c r="F863" s="2"/>
      <c r="G863" s="2"/>
      <c r="H863" s="2"/>
      <c r="I863" s="2"/>
      <c r="J863" s="2"/>
      <c r="K863" s="2"/>
      <c r="L863" s="2"/>
      <c r="M863" s="2"/>
      <c r="N863" s="2"/>
      <c r="O863" s="2"/>
    </row>
    <row r="864" spans="2:15" ht="14">
      <c r="B864" s="17"/>
      <c r="C864" s="2"/>
      <c r="D864" s="2"/>
      <c r="E864" s="14"/>
      <c r="F864" s="2"/>
      <c r="G864" s="2"/>
      <c r="H864" s="2"/>
      <c r="I864" s="2"/>
      <c r="J864" s="2"/>
      <c r="K864" s="2"/>
      <c r="L864" s="2"/>
      <c r="M864" s="2"/>
      <c r="N864" s="2"/>
      <c r="O864" s="2"/>
    </row>
    <row r="865" spans="2:15" ht="14">
      <c r="B865" s="17"/>
      <c r="C865" s="2"/>
      <c r="D865" s="2"/>
      <c r="E865" s="14"/>
      <c r="F865" s="2"/>
      <c r="G865" s="2"/>
      <c r="H865" s="2"/>
      <c r="I865" s="2"/>
      <c r="J865" s="2"/>
      <c r="K865" s="2"/>
      <c r="L865" s="2"/>
      <c r="M865" s="2"/>
      <c r="N865" s="2"/>
      <c r="O865" s="2"/>
    </row>
    <row r="866" spans="2:15" ht="14">
      <c r="B866" s="17"/>
      <c r="C866" s="2"/>
      <c r="D866" s="2"/>
      <c r="E866" s="14"/>
      <c r="F866" s="2"/>
      <c r="G866" s="2"/>
      <c r="H866" s="2"/>
      <c r="I866" s="2"/>
      <c r="J866" s="2"/>
      <c r="K866" s="2"/>
      <c r="L866" s="2"/>
      <c r="M866" s="2"/>
      <c r="N866" s="2"/>
      <c r="O866" s="2"/>
    </row>
    <row r="867" spans="2:15" ht="14">
      <c r="B867" s="17"/>
      <c r="C867" s="2"/>
      <c r="D867" s="2"/>
      <c r="E867" s="14"/>
      <c r="F867" s="2"/>
      <c r="G867" s="2"/>
      <c r="H867" s="2"/>
      <c r="I867" s="2"/>
      <c r="J867" s="2"/>
      <c r="K867" s="2"/>
      <c r="L867" s="2"/>
      <c r="M867" s="2"/>
      <c r="N867" s="2"/>
      <c r="O867" s="2"/>
    </row>
    <row r="868" spans="2:15" ht="14">
      <c r="B868" s="17"/>
      <c r="C868" s="2"/>
      <c r="D868" s="2"/>
      <c r="E868" s="14"/>
      <c r="F868" s="2"/>
      <c r="G868" s="2"/>
      <c r="H868" s="2"/>
      <c r="I868" s="2"/>
      <c r="J868" s="2"/>
      <c r="K868" s="2"/>
      <c r="L868" s="2"/>
      <c r="M868" s="2"/>
      <c r="N868" s="2"/>
      <c r="O868" s="2"/>
    </row>
    <row r="869" spans="2:15" ht="14">
      <c r="B869" s="17"/>
      <c r="C869" s="2"/>
      <c r="D869" s="2"/>
      <c r="E869" s="14"/>
      <c r="F869" s="2"/>
      <c r="G869" s="2"/>
      <c r="H869" s="2"/>
      <c r="I869" s="2"/>
      <c r="J869" s="2"/>
      <c r="K869" s="2"/>
      <c r="L869" s="2"/>
      <c r="M869" s="2"/>
      <c r="N869" s="2"/>
      <c r="O869" s="2"/>
    </row>
    <row r="870" spans="2:15" ht="14">
      <c r="B870" s="17"/>
      <c r="C870" s="2"/>
      <c r="D870" s="2"/>
      <c r="E870" s="14"/>
      <c r="F870" s="2"/>
      <c r="G870" s="2"/>
      <c r="H870" s="2"/>
      <c r="I870" s="2"/>
      <c r="J870" s="2"/>
      <c r="K870" s="2"/>
      <c r="L870" s="2"/>
      <c r="M870" s="2"/>
      <c r="N870" s="2"/>
      <c r="O870" s="2"/>
    </row>
    <row r="871" spans="2:15" ht="14">
      <c r="B871" s="17"/>
      <c r="C871" s="2"/>
      <c r="D871" s="2"/>
      <c r="E871" s="14"/>
      <c r="F871" s="2"/>
      <c r="G871" s="2"/>
      <c r="H871" s="2"/>
      <c r="I871" s="2"/>
      <c r="J871" s="2"/>
      <c r="K871" s="2"/>
      <c r="L871" s="2"/>
      <c r="M871" s="2"/>
      <c r="N871" s="2"/>
      <c r="O871" s="2"/>
    </row>
    <row r="872" spans="2:15" ht="14">
      <c r="B872" s="17"/>
      <c r="C872" s="2"/>
      <c r="D872" s="2"/>
      <c r="E872" s="14"/>
      <c r="F872" s="2"/>
      <c r="G872" s="2"/>
      <c r="H872" s="2"/>
      <c r="I872" s="2"/>
      <c r="J872" s="2"/>
      <c r="K872" s="2"/>
      <c r="L872" s="2"/>
      <c r="M872" s="2"/>
      <c r="N872" s="2"/>
      <c r="O872" s="2"/>
    </row>
    <row r="873" spans="2:15" ht="14">
      <c r="B873" s="17"/>
      <c r="C873" s="2"/>
      <c r="D873" s="2"/>
      <c r="E873" s="14"/>
      <c r="F873" s="2"/>
      <c r="G873" s="2"/>
      <c r="H873" s="2"/>
      <c r="I873" s="2"/>
      <c r="J873" s="2"/>
      <c r="K873" s="2"/>
      <c r="L873" s="2"/>
      <c r="M873" s="2"/>
      <c r="N873" s="2"/>
      <c r="O873" s="2"/>
    </row>
    <row r="874" spans="2:15" ht="14">
      <c r="B874" s="17"/>
      <c r="C874" s="2"/>
      <c r="D874" s="2"/>
      <c r="E874" s="14"/>
      <c r="F874" s="2"/>
      <c r="G874" s="2"/>
      <c r="H874" s="2"/>
      <c r="I874" s="2"/>
      <c r="J874" s="2"/>
      <c r="K874" s="2"/>
      <c r="L874" s="2"/>
      <c r="M874" s="2"/>
      <c r="N874" s="2"/>
      <c r="O874" s="2"/>
    </row>
    <row r="875" spans="2:15" ht="14">
      <c r="B875" s="17"/>
      <c r="C875" s="2"/>
      <c r="D875" s="2"/>
      <c r="E875" s="14"/>
      <c r="F875" s="2"/>
      <c r="G875" s="2"/>
      <c r="H875" s="2"/>
      <c r="I875" s="2"/>
      <c r="J875" s="2"/>
      <c r="K875" s="2"/>
      <c r="L875" s="2"/>
      <c r="M875" s="2"/>
      <c r="N875" s="2"/>
      <c r="O875" s="2"/>
    </row>
    <row r="876" spans="2:15" ht="14">
      <c r="B876" s="17"/>
      <c r="C876" s="2"/>
      <c r="D876" s="2"/>
      <c r="E876" s="14"/>
      <c r="F876" s="2"/>
      <c r="G876" s="2"/>
      <c r="H876" s="2"/>
      <c r="I876" s="2"/>
      <c r="J876" s="2"/>
      <c r="K876" s="2"/>
      <c r="L876" s="2"/>
      <c r="M876" s="2"/>
      <c r="N876" s="2"/>
      <c r="O876" s="2"/>
    </row>
    <row r="877" spans="2:15" ht="14">
      <c r="B877" s="17"/>
      <c r="C877" s="2"/>
      <c r="D877" s="2"/>
      <c r="E877" s="14"/>
      <c r="F877" s="2"/>
      <c r="G877" s="2"/>
      <c r="H877" s="2"/>
      <c r="I877" s="2"/>
      <c r="J877" s="2"/>
      <c r="K877" s="2"/>
      <c r="L877" s="2"/>
      <c r="M877" s="2"/>
      <c r="N877" s="2"/>
      <c r="O877" s="2"/>
    </row>
    <row r="878" spans="2:15" ht="14">
      <c r="B878" s="17"/>
      <c r="C878" s="2"/>
      <c r="D878" s="2"/>
      <c r="E878" s="14"/>
      <c r="F878" s="2"/>
      <c r="G878" s="2"/>
      <c r="H878" s="2"/>
      <c r="I878" s="2"/>
      <c r="J878" s="2"/>
      <c r="K878" s="2"/>
      <c r="L878" s="2"/>
      <c r="M878" s="2"/>
      <c r="N878" s="2"/>
      <c r="O878" s="2"/>
    </row>
    <row r="879" spans="2:15" ht="14">
      <c r="B879" s="17"/>
      <c r="C879" s="2"/>
      <c r="D879" s="2"/>
      <c r="E879" s="14"/>
      <c r="F879" s="2"/>
      <c r="G879" s="2"/>
      <c r="H879" s="2"/>
      <c r="I879" s="2"/>
      <c r="J879" s="2"/>
      <c r="K879" s="2"/>
      <c r="L879" s="2"/>
      <c r="M879" s="2"/>
      <c r="N879" s="2"/>
      <c r="O879" s="2"/>
    </row>
    <row r="880" spans="2:15" ht="14">
      <c r="B880" s="17"/>
      <c r="C880" s="2"/>
      <c r="D880" s="2"/>
      <c r="E880" s="14"/>
      <c r="F880" s="2"/>
      <c r="G880" s="2"/>
      <c r="H880" s="2"/>
      <c r="I880" s="2"/>
      <c r="J880" s="2"/>
      <c r="K880" s="2"/>
      <c r="L880" s="2"/>
      <c r="M880" s="2"/>
      <c r="N880" s="2"/>
      <c r="O880" s="2"/>
    </row>
    <row r="881" spans="2:15" ht="14">
      <c r="B881" s="17"/>
      <c r="C881" s="2"/>
      <c r="D881" s="2"/>
      <c r="E881" s="14"/>
      <c r="F881" s="2"/>
      <c r="G881" s="2"/>
      <c r="H881" s="2"/>
      <c r="I881" s="2"/>
      <c r="J881" s="2"/>
      <c r="K881" s="2"/>
      <c r="L881" s="2"/>
      <c r="M881" s="2"/>
      <c r="N881" s="2"/>
      <c r="O881" s="2"/>
    </row>
    <row r="882" spans="2:15" ht="14">
      <c r="B882" s="17"/>
      <c r="C882" s="2"/>
      <c r="D882" s="2"/>
      <c r="E882" s="14"/>
      <c r="F882" s="2"/>
      <c r="G882" s="2"/>
      <c r="H882" s="2"/>
      <c r="I882" s="2"/>
      <c r="J882" s="2"/>
      <c r="K882" s="2"/>
      <c r="L882" s="2"/>
      <c r="M882" s="2"/>
      <c r="N882" s="2"/>
      <c r="O882" s="2"/>
    </row>
    <row r="883" spans="2:15" ht="14">
      <c r="B883" s="17"/>
      <c r="C883" s="2"/>
      <c r="D883" s="2"/>
      <c r="E883" s="14"/>
      <c r="F883" s="2"/>
      <c r="G883" s="2"/>
      <c r="H883" s="2"/>
      <c r="I883" s="2"/>
      <c r="J883" s="2"/>
      <c r="K883" s="2"/>
      <c r="L883" s="2"/>
      <c r="M883" s="2"/>
      <c r="N883" s="2"/>
      <c r="O883" s="2"/>
    </row>
    <row r="884" spans="2:15" ht="14">
      <c r="B884" s="17"/>
      <c r="C884" s="2"/>
      <c r="D884" s="2"/>
      <c r="E884" s="14"/>
      <c r="F884" s="2"/>
      <c r="G884" s="2"/>
      <c r="H884" s="2"/>
      <c r="I884" s="2"/>
      <c r="J884" s="2"/>
      <c r="K884" s="2"/>
      <c r="L884" s="2"/>
      <c r="M884" s="2"/>
      <c r="N884" s="2"/>
      <c r="O884" s="2"/>
    </row>
    <row r="885" spans="2:15" ht="14">
      <c r="B885" s="17"/>
      <c r="C885" s="2"/>
      <c r="D885" s="2"/>
      <c r="E885" s="14"/>
      <c r="F885" s="2"/>
      <c r="G885" s="2"/>
      <c r="H885" s="2"/>
      <c r="I885" s="2"/>
      <c r="J885" s="2"/>
      <c r="K885" s="2"/>
      <c r="L885" s="2"/>
      <c r="M885" s="2"/>
      <c r="N885" s="2"/>
      <c r="O885" s="2"/>
    </row>
    <row r="886" spans="2:15" ht="14">
      <c r="B886" s="17"/>
      <c r="C886" s="2"/>
      <c r="D886" s="2"/>
      <c r="E886" s="14"/>
      <c r="F886" s="2"/>
      <c r="G886" s="2"/>
      <c r="H886" s="2"/>
      <c r="I886" s="2"/>
      <c r="J886" s="2"/>
      <c r="K886" s="2"/>
      <c r="L886" s="2"/>
      <c r="M886" s="2"/>
      <c r="N886" s="2"/>
      <c r="O886" s="2"/>
    </row>
    <row r="887" spans="2:15" ht="14">
      <c r="B887" s="17"/>
      <c r="C887" s="2"/>
      <c r="D887" s="2"/>
      <c r="E887" s="14"/>
      <c r="F887" s="2"/>
      <c r="G887" s="2"/>
      <c r="H887" s="2"/>
      <c r="I887" s="2"/>
      <c r="J887" s="2"/>
      <c r="K887" s="2"/>
      <c r="L887" s="2"/>
      <c r="M887" s="2"/>
      <c r="N887" s="2"/>
      <c r="O887" s="2"/>
    </row>
    <row r="888" spans="2:15" ht="14">
      <c r="B888" s="17"/>
      <c r="C888" s="2"/>
      <c r="D888" s="2"/>
      <c r="E888" s="14"/>
      <c r="F888" s="2"/>
      <c r="G888" s="2"/>
      <c r="H888" s="2"/>
      <c r="I888" s="2"/>
      <c r="J888" s="2"/>
      <c r="K888" s="2"/>
      <c r="L888" s="2"/>
      <c r="M888" s="2"/>
      <c r="N888" s="2"/>
      <c r="O888" s="2"/>
    </row>
    <row r="889" spans="2:15" ht="14">
      <c r="B889" s="17"/>
      <c r="C889" s="2"/>
      <c r="D889" s="2"/>
      <c r="E889" s="14"/>
      <c r="F889" s="2"/>
      <c r="G889" s="2"/>
      <c r="H889" s="2"/>
      <c r="I889" s="2"/>
      <c r="J889" s="2"/>
      <c r="K889" s="2"/>
      <c r="L889" s="2"/>
      <c r="M889" s="2"/>
      <c r="N889" s="2"/>
      <c r="O889" s="2"/>
    </row>
    <row r="890" spans="2:15" ht="14">
      <c r="B890" s="17"/>
      <c r="C890" s="2"/>
      <c r="D890" s="2"/>
      <c r="E890" s="14"/>
      <c r="F890" s="2"/>
      <c r="G890" s="2"/>
      <c r="H890" s="2"/>
      <c r="I890" s="2"/>
      <c r="J890" s="2"/>
      <c r="K890" s="2"/>
      <c r="L890" s="2"/>
      <c r="M890" s="2"/>
      <c r="N890" s="2"/>
      <c r="O890" s="2"/>
    </row>
    <row r="891" spans="2:15" ht="14">
      <c r="B891" s="17"/>
      <c r="C891" s="2"/>
      <c r="D891" s="2"/>
      <c r="E891" s="14"/>
      <c r="F891" s="2"/>
      <c r="G891" s="2"/>
      <c r="H891" s="2"/>
      <c r="I891" s="2"/>
      <c r="J891" s="2"/>
      <c r="K891" s="2"/>
      <c r="L891" s="2"/>
      <c r="M891" s="2"/>
      <c r="N891" s="2"/>
      <c r="O891" s="2"/>
    </row>
    <row r="892" spans="2:15" ht="14">
      <c r="B892" s="17"/>
      <c r="C892" s="2"/>
      <c r="D892" s="2"/>
      <c r="E892" s="14"/>
      <c r="F892" s="2"/>
      <c r="G892" s="2"/>
      <c r="H892" s="2"/>
      <c r="I892" s="2"/>
      <c r="J892" s="2"/>
      <c r="K892" s="2"/>
      <c r="L892" s="2"/>
      <c r="M892" s="2"/>
      <c r="N892" s="2"/>
      <c r="O892" s="2"/>
    </row>
    <row r="893" spans="2:15" ht="14">
      <c r="B893" s="17"/>
      <c r="C893" s="2"/>
      <c r="D893" s="2"/>
      <c r="E893" s="14"/>
      <c r="F893" s="2"/>
      <c r="G893" s="2"/>
      <c r="H893" s="2"/>
      <c r="I893" s="2"/>
      <c r="J893" s="2"/>
      <c r="K893" s="2"/>
      <c r="L893" s="2"/>
      <c r="M893" s="2"/>
      <c r="N893" s="2"/>
      <c r="O893" s="2"/>
    </row>
    <row r="894" spans="2:15" ht="14">
      <c r="B894" s="17"/>
      <c r="C894" s="2"/>
      <c r="D894" s="2"/>
      <c r="E894" s="14"/>
      <c r="F894" s="2"/>
      <c r="G894" s="2"/>
      <c r="H894" s="2"/>
      <c r="I894" s="2"/>
      <c r="J894" s="2"/>
      <c r="K894" s="2"/>
      <c r="L894" s="2"/>
      <c r="M894" s="2"/>
      <c r="N894" s="2"/>
      <c r="O894" s="2"/>
    </row>
    <row r="895" spans="2:15" ht="14">
      <c r="B895" s="17"/>
      <c r="C895" s="2"/>
      <c r="D895" s="2"/>
      <c r="E895" s="14"/>
      <c r="F895" s="2"/>
      <c r="G895" s="2"/>
      <c r="H895" s="2"/>
      <c r="I895" s="2"/>
      <c r="J895" s="2"/>
      <c r="K895" s="2"/>
      <c r="L895" s="2"/>
      <c r="M895" s="2"/>
      <c r="N895" s="2"/>
      <c r="O895" s="2"/>
    </row>
    <row r="896" spans="2:15" ht="14">
      <c r="B896" s="17"/>
      <c r="C896" s="2"/>
      <c r="D896" s="2"/>
      <c r="E896" s="14"/>
      <c r="F896" s="2"/>
      <c r="G896" s="2"/>
      <c r="H896" s="2"/>
      <c r="I896" s="2"/>
      <c r="J896" s="2"/>
      <c r="K896" s="2"/>
      <c r="L896" s="2"/>
      <c r="M896" s="2"/>
      <c r="N896" s="2"/>
      <c r="O896" s="2"/>
    </row>
    <row r="897" spans="2:15" ht="14">
      <c r="B897" s="17"/>
      <c r="C897" s="2"/>
      <c r="D897" s="2"/>
      <c r="E897" s="14"/>
      <c r="F897" s="2"/>
      <c r="G897" s="2"/>
      <c r="H897" s="2"/>
      <c r="I897" s="2"/>
      <c r="J897" s="2"/>
      <c r="K897" s="2"/>
      <c r="L897" s="2"/>
      <c r="M897" s="2"/>
      <c r="N897" s="2"/>
      <c r="O897" s="2"/>
    </row>
    <row r="898" spans="2:15" ht="14">
      <c r="B898" s="17"/>
      <c r="C898" s="2"/>
      <c r="D898" s="2"/>
      <c r="E898" s="14"/>
      <c r="F898" s="2"/>
      <c r="G898" s="2"/>
      <c r="H898" s="2"/>
      <c r="I898" s="2"/>
      <c r="J898" s="2"/>
      <c r="K898" s="2"/>
      <c r="L898" s="2"/>
      <c r="M898" s="2"/>
      <c r="N898" s="2"/>
      <c r="O898" s="2"/>
    </row>
    <row r="899" spans="2:15" ht="14">
      <c r="B899" s="17"/>
      <c r="C899" s="2"/>
      <c r="D899" s="2"/>
      <c r="E899" s="14"/>
      <c r="F899" s="2"/>
      <c r="G899" s="2"/>
      <c r="H899" s="2"/>
      <c r="I899" s="2"/>
      <c r="J899" s="2"/>
      <c r="K899" s="2"/>
      <c r="L899" s="2"/>
      <c r="M899" s="2"/>
      <c r="N899" s="2"/>
      <c r="O899" s="2"/>
    </row>
    <row r="900" spans="2:15" ht="14">
      <c r="B900" s="17"/>
      <c r="C900" s="2"/>
      <c r="D900" s="2"/>
      <c r="E900" s="14"/>
      <c r="F900" s="2"/>
      <c r="G900" s="2"/>
      <c r="H900" s="2"/>
      <c r="I900" s="2"/>
      <c r="J900" s="2"/>
      <c r="K900" s="2"/>
      <c r="L900" s="2"/>
      <c r="M900" s="2"/>
      <c r="N900" s="2"/>
      <c r="O900" s="2"/>
    </row>
    <row r="901" spans="2:15" ht="14">
      <c r="B901" s="17"/>
      <c r="C901" s="2"/>
      <c r="D901" s="2"/>
      <c r="E901" s="14"/>
      <c r="F901" s="2"/>
      <c r="G901" s="2"/>
      <c r="H901" s="2"/>
      <c r="I901" s="2"/>
      <c r="J901" s="2"/>
      <c r="K901" s="2"/>
      <c r="L901" s="2"/>
      <c r="M901" s="2"/>
      <c r="N901" s="2"/>
      <c r="O901" s="2"/>
    </row>
    <row r="902" spans="2:15" ht="14">
      <c r="B902" s="17"/>
      <c r="C902" s="2"/>
      <c r="D902" s="2"/>
      <c r="E902" s="14"/>
      <c r="F902" s="2"/>
      <c r="G902" s="2"/>
      <c r="H902" s="2"/>
      <c r="I902" s="2"/>
      <c r="J902" s="2"/>
      <c r="K902" s="2"/>
      <c r="L902" s="2"/>
      <c r="M902" s="2"/>
      <c r="N902" s="2"/>
      <c r="O902" s="2"/>
    </row>
    <row r="903" spans="2:15" ht="14">
      <c r="B903" s="17"/>
      <c r="C903" s="2"/>
      <c r="D903" s="2"/>
      <c r="E903" s="14"/>
      <c r="F903" s="2"/>
      <c r="G903" s="2"/>
      <c r="H903" s="2"/>
      <c r="I903" s="2"/>
      <c r="J903" s="2"/>
      <c r="K903" s="2"/>
      <c r="L903" s="2"/>
      <c r="M903" s="2"/>
      <c r="N903" s="2"/>
      <c r="O903" s="2"/>
    </row>
    <row r="904" spans="2:15" ht="14">
      <c r="B904" s="17"/>
      <c r="C904" s="2"/>
      <c r="D904" s="2"/>
      <c r="E904" s="14"/>
      <c r="F904" s="2"/>
      <c r="G904" s="2"/>
      <c r="H904" s="2"/>
      <c r="I904" s="2"/>
      <c r="J904" s="2"/>
      <c r="K904" s="2"/>
      <c r="L904" s="2"/>
      <c r="M904" s="2"/>
      <c r="N904" s="2"/>
      <c r="O904" s="2"/>
    </row>
    <row r="905" spans="2:15" ht="14">
      <c r="B905" s="17"/>
      <c r="C905" s="2"/>
      <c r="D905" s="2"/>
      <c r="E905" s="14"/>
      <c r="F905" s="2"/>
      <c r="G905" s="2"/>
      <c r="H905" s="2"/>
      <c r="I905" s="2"/>
      <c r="J905" s="2"/>
      <c r="K905" s="2"/>
      <c r="L905" s="2"/>
      <c r="M905" s="2"/>
      <c r="N905" s="2"/>
      <c r="O905" s="2"/>
    </row>
    <row r="906" spans="2:15" ht="14">
      <c r="B906" s="17"/>
      <c r="C906" s="2"/>
      <c r="D906" s="2"/>
      <c r="E906" s="14"/>
      <c r="F906" s="2"/>
      <c r="G906" s="2"/>
      <c r="H906" s="2"/>
      <c r="I906" s="2"/>
      <c r="J906" s="2"/>
      <c r="K906" s="2"/>
      <c r="L906" s="2"/>
      <c r="M906" s="2"/>
      <c r="N906" s="2"/>
      <c r="O906" s="2"/>
    </row>
    <row r="907" spans="2:15" ht="14">
      <c r="B907" s="17"/>
      <c r="C907" s="2"/>
      <c r="D907" s="2"/>
      <c r="E907" s="14"/>
      <c r="F907" s="2"/>
      <c r="G907" s="2"/>
      <c r="H907" s="2"/>
      <c r="I907" s="2"/>
      <c r="J907" s="2"/>
      <c r="K907" s="2"/>
      <c r="L907" s="2"/>
      <c r="M907" s="2"/>
      <c r="N907" s="2"/>
      <c r="O907" s="2"/>
    </row>
    <row r="908" spans="2:15" ht="14">
      <c r="B908" s="17"/>
      <c r="C908" s="2"/>
      <c r="D908" s="2"/>
      <c r="E908" s="14"/>
      <c r="F908" s="2"/>
      <c r="G908" s="2"/>
      <c r="H908" s="2"/>
      <c r="I908" s="2"/>
      <c r="J908" s="2"/>
      <c r="K908" s="2"/>
      <c r="L908" s="2"/>
      <c r="M908" s="2"/>
      <c r="N908" s="2"/>
      <c r="O908" s="2"/>
    </row>
    <row r="909" spans="2:15" ht="14">
      <c r="B909" s="17"/>
      <c r="C909" s="2"/>
      <c r="D909" s="2"/>
      <c r="E909" s="14"/>
      <c r="F909" s="2"/>
      <c r="G909" s="2"/>
      <c r="H909" s="2"/>
      <c r="I909" s="2"/>
      <c r="J909" s="2"/>
      <c r="K909" s="2"/>
      <c r="L909" s="2"/>
      <c r="M909" s="2"/>
      <c r="N909" s="2"/>
      <c r="O909" s="2"/>
    </row>
    <row r="910" spans="2:15" ht="14">
      <c r="B910" s="17"/>
      <c r="C910" s="2"/>
      <c r="D910" s="2"/>
      <c r="E910" s="14"/>
      <c r="F910" s="2"/>
      <c r="G910" s="2"/>
      <c r="H910" s="2"/>
      <c r="I910" s="2"/>
      <c r="J910" s="2"/>
      <c r="K910" s="2"/>
      <c r="L910" s="2"/>
      <c r="M910" s="2"/>
      <c r="N910" s="2"/>
      <c r="O910" s="2"/>
    </row>
    <row r="911" spans="2:15" ht="14">
      <c r="B911" s="17"/>
      <c r="C911" s="2"/>
      <c r="D911" s="2"/>
      <c r="E911" s="14"/>
      <c r="F911" s="2"/>
      <c r="G911" s="2"/>
      <c r="H911" s="2"/>
      <c r="I911" s="2"/>
      <c r="J911" s="2"/>
      <c r="K911" s="2"/>
      <c r="L911" s="2"/>
      <c r="M911" s="2"/>
      <c r="N911" s="2"/>
      <c r="O911" s="2"/>
    </row>
    <row r="912" spans="2:15" ht="14">
      <c r="B912" s="17"/>
      <c r="C912" s="2"/>
      <c r="D912" s="2"/>
      <c r="E912" s="14"/>
      <c r="F912" s="2"/>
      <c r="G912" s="2"/>
      <c r="H912" s="2"/>
      <c r="I912" s="2"/>
      <c r="J912" s="2"/>
      <c r="K912" s="2"/>
      <c r="L912" s="2"/>
      <c r="M912" s="2"/>
      <c r="N912" s="2"/>
      <c r="O912" s="2"/>
    </row>
    <row r="913" spans="2:15" ht="14">
      <c r="B913" s="17"/>
      <c r="C913" s="2"/>
      <c r="D913" s="2"/>
      <c r="E913" s="14"/>
      <c r="F913" s="2"/>
      <c r="G913" s="2"/>
      <c r="H913" s="2"/>
      <c r="I913" s="2"/>
      <c r="J913" s="2"/>
      <c r="K913" s="2"/>
      <c r="L913" s="2"/>
      <c r="M913" s="2"/>
      <c r="N913" s="2"/>
      <c r="O913" s="2"/>
    </row>
    <row r="914" spans="2:15" ht="14">
      <c r="B914" s="17"/>
      <c r="C914" s="2"/>
      <c r="D914" s="2"/>
      <c r="E914" s="14"/>
      <c r="F914" s="2"/>
      <c r="G914" s="2"/>
      <c r="H914" s="2"/>
      <c r="I914" s="2"/>
      <c r="J914" s="2"/>
      <c r="K914" s="2"/>
      <c r="L914" s="2"/>
      <c r="M914" s="2"/>
      <c r="N914" s="2"/>
      <c r="O914" s="2"/>
    </row>
    <row r="915" spans="2:15" ht="14">
      <c r="B915" s="17"/>
      <c r="C915" s="2"/>
      <c r="D915" s="2"/>
      <c r="E915" s="14"/>
      <c r="F915" s="2"/>
      <c r="G915" s="2"/>
      <c r="H915" s="2"/>
      <c r="I915" s="2"/>
      <c r="J915" s="2"/>
      <c r="K915" s="2"/>
      <c r="L915" s="2"/>
      <c r="M915" s="2"/>
      <c r="N915" s="2"/>
      <c r="O915" s="2"/>
    </row>
    <row r="916" spans="2:15" ht="14">
      <c r="B916" s="17"/>
      <c r="C916" s="2"/>
      <c r="D916" s="2"/>
      <c r="E916" s="14"/>
      <c r="F916" s="2"/>
      <c r="G916" s="2"/>
      <c r="H916" s="2"/>
      <c r="I916" s="2"/>
      <c r="J916" s="2"/>
      <c r="K916" s="2"/>
      <c r="L916" s="2"/>
      <c r="M916" s="2"/>
      <c r="N916" s="2"/>
      <c r="O916" s="2"/>
    </row>
    <row r="917" spans="2:15" ht="14">
      <c r="B917" s="17"/>
      <c r="C917" s="2"/>
      <c r="D917" s="2"/>
      <c r="E917" s="14"/>
      <c r="F917" s="2"/>
      <c r="G917" s="2"/>
      <c r="H917" s="2"/>
      <c r="I917" s="2"/>
      <c r="J917" s="2"/>
      <c r="K917" s="2"/>
      <c r="L917" s="2"/>
      <c r="M917" s="2"/>
      <c r="N917" s="2"/>
      <c r="O917" s="2"/>
    </row>
    <row r="918" spans="2:15" ht="14">
      <c r="B918" s="17"/>
      <c r="C918" s="2"/>
      <c r="D918" s="2"/>
      <c r="E918" s="14"/>
      <c r="F918" s="2"/>
      <c r="G918" s="2"/>
      <c r="H918" s="2"/>
      <c r="I918" s="2"/>
      <c r="J918" s="2"/>
      <c r="K918" s="2"/>
      <c r="L918" s="2"/>
      <c r="M918" s="2"/>
      <c r="N918" s="2"/>
      <c r="O918" s="2"/>
    </row>
    <row r="919" spans="2:15" ht="14">
      <c r="B919" s="17"/>
      <c r="C919" s="2"/>
      <c r="D919" s="2"/>
      <c r="E919" s="14"/>
      <c r="F919" s="2"/>
      <c r="G919" s="2"/>
      <c r="H919" s="2"/>
      <c r="I919" s="2"/>
      <c r="J919" s="2"/>
      <c r="K919" s="2"/>
      <c r="L919" s="2"/>
      <c r="M919" s="2"/>
      <c r="N919" s="2"/>
      <c r="O919" s="2"/>
    </row>
    <row r="920" spans="2:15" ht="14">
      <c r="B920" s="17"/>
      <c r="C920" s="2"/>
      <c r="D920" s="2"/>
      <c r="E920" s="14"/>
      <c r="F920" s="2"/>
      <c r="G920" s="2"/>
      <c r="H920" s="2"/>
      <c r="I920" s="2"/>
      <c r="J920" s="2"/>
      <c r="K920" s="2"/>
      <c r="L920" s="2"/>
      <c r="M920" s="2"/>
      <c r="N920" s="2"/>
      <c r="O920" s="2"/>
    </row>
    <row r="921" spans="2:15" ht="14">
      <c r="B921" s="17"/>
      <c r="C921" s="2"/>
      <c r="D921" s="2"/>
      <c r="E921" s="14"/>
      <c r="F921" s="2"/>
      <c r="G921" s="2"/>
      <c r="H921" s="2"/>
      <c r="I921" s="2"/>
      <c r="J921" s="2"/>
      <c r="K921" s="2"/>
      <c r="L921" s="2"/>
      <c r="M921" s="2"/>
      <c r="N921" s="2"/>
      <c r="O921" s="2"/>
    </row>
    <row r="922" spans="2:15" ht="14">
      <c r="B922" s="17"/>
      <c r="C922" s="2"/>
      <c r="D922" s="2"/>
      <c r="E922" s="14"/>
      <c r="F922" s="2"/>
      <c r="G922" s="2"/>
      <c r="H922" s="2"/>
      <c r="I922" s="2"/>
      <c r="J922" s="2"/>
      <c r="K922" s="2"/>
      <c r="L922" s="2"/>
      <c r="M922" s="2"/>
      <c r="N922" s="2"/>
      <c r="O922" s="2"/>
    </row>
    <row r="923" spans="2:15" ht="14">
      <c r="B923" s="17"/>
      <c r="C923" s="2"/>
      <c r="D923" s="2"/>
      <c r="E923" s="14"/>
      <c r="F923" s="2"/>
      <c r="G923" s="2"/>
      <c r="H923" s="2"/>
      <c r="I923" s="2"/>
      <c r="J923" s="2"/>
      <c r="K923" s="2"/>
      <c r="L923" s="2"/>
      <c r="M923" s="2"/>
      <c r="N923" s="2"/>
      <c r="O923" s="2"/>
    </row>
    <row r="924" spans="2:15" ht="14">
      <c r="B924" s="17"/>
      <c r="C924" s="2"/>
      <c r="D924" s="2"/>
      <c r="E924" s="14"/>
      <c r="F924" s="2"/>
      <c r="G924" s="2"/>
      <c r="H924" s="2"/>
      <c r="I924" s="2"/>
      <c r="J924" s="2"/>
      <c r="K924" s="2"/>
      <c r="L924" s="2"/>
      <c r="M924" s="2"/>
      <c r="N924" s="2"/>
      <c r="O924" s="2"/>
    </row>
    <row r="925" spans="2:15" ht="14">
      <c r="B925" s="17"/>
      <c r="C925" s="2"/>
      <c r="D925" s="2"/>
      <c r="E925" s="14"/>
      <c r="F925" s="2"/>
      <c r="G925" s="2"/>
      <c r="H925" s="2"/>
      <c r="I925" s="2"/>
      <c r="J925" s="2"/>
      <c r="K925" s="2"/>
      <c r="L925" s="2"/>
      <c r="M925" s="2"/>
      <c r="N925" s="2"/>
      <c r="O925" s="2"/>
    </row>
    <row r="926" spans="2:15" ht="14">
      <c r="B926" s="17"/>
      <c r="C926" s="2"/>
      <c r="D926" s="2"/>
      <c r="E926" s="14"/>
      <c r="F926" s="2"/>
      <c r="G926" s="2"/>
      <c r="H926" s="2"/>
      <c r="I926" s="2"/>
      <c r="J926" s="2"/>
      <c r="K926" s="2"/>
      <c r="L926" s="2"/>
      <c r="M926" s="2"/>
      <c r="N926" s="2"/>
      <c r="O926" s="2"/>
    </row>
    <row r="927" spans="2:15" ht="14">
      <c r="B927" s="17"/>
      <c r="C927" s="2"/>
      <c r="D927" s="2"/>
      <c r="E927" s="14"/>
      <c r="F927" s="2"/>
      <c r="G927" s="2"/>
      <c r="H927" s="2"/>
      <c r="I927" s="2"/>
      <c r="J927" s="2"/>
      <c r="K927" s="2"/>
      <c r="L927" s="2"/>
      <c r="M927" s="2"/>
      <c r="N927" s="2"/>
      <c r="O927" s="2"/>
    </row>
    <row r="928" spans="2:15" ht="14">
      <c r="B928" s="17"/>
      <c r="C928" s="2"/>
      <c r="D928" s="2"/>
      <c r="E928" s="14"/>
      <c r="F928" s="2"/>
      <c r="G928" s="2"/>
      <c r="H928" s="2"/>
      <c r="I928" s="2"/>
      <c r="J928" s="2"/>
      <c r="K928" s="2"/>
      <c r="L928" s="2"/>
      <c r="M928" s="2"/>
      <c r="N928" s="2"/>
      <c r="O928" s="2"/>
    </row>
    <row r="929" spans="2:15" ht="14">
      <c r="B929" s="17"/>
      <c r="C929" s="2"/>
      <c r="D929" s="2"/>
      <c r="E929" s="14"/>
      <c r="F929" s="2"/>
      <c r="G929" s="2"/>
      <c r="H929" s="2"/>
      <c r="I929" s="2"/>
      <c r="J929" s="2"/>
      <c r="K929" s="2"/>
      <c r="L929" s="2"/>
      <c r="M929" s="2"/>
      <c r="N929" s="2"/>
      <c r="O929" s="2"/>
    </row>
    <row r="930" spans="2:15" ht="14">
      <c r="B930" s="17"/>
      <c r="C930" s="2"/>
      <c r="D930" s="2"/>
      <c r="E930" s="14"/>
      <c r="F930" s="2"/>
      <c r="G930" s="2"/>
      <c r="H930" s="2"/>
      <c r="I930" s="2"/>
      <c r="J930" s="2"/>
      <c r="K930" s="2"/>
      <c r="L930" s="2"/>
      <c r="M930" s="2"/>
      <c r="N930" s="2"/>
      <c r="O930" s="2"/>
    </row>
    <row r="931" spans="2:15" ht="14">
      <c r="B931" s="17"/>
      <c r="C931" s="2"/>
      <c r="D931" s="2"/>
      <c r="E931" s="14"/>
      <c r="F931" s="2"/>
      <c r="G931" s="2"/>
      <c r="H931" s="2"/>
      <c r="I931" s="2"/>
      <c r="J931" s="2"/>
      <c r="K931" s="2"/>
      <c r="L931" s="2"/>
      <c r="M931" s="2"/>
      <c r="N931" s="2"/>
      <c r="O931" s="2"/>
    </row>
    <row r="932" spans="2:15" ht="14">
      <c r="B932" s="17"/>
      <c r="C932" s="2"/>
      <c r="D932" s="2"/>
      <c r="E932" s="14"/>
      <c r="F932" s="2"/>
      <c r="G932" s="2"/>
      <c r="H932" s="2"/>
      <c r="I932" s="2"/>
      <c r="J932" s="2"/>
      <c r="K932" s="2"/>
      <c r="L932" s="2"/>
      <c r="M932" s="2"/>
      <c r="N932" s="2"/>
      <c r="O932" s="2"/>
    </row>
    <row r="933" spans="2:15" ht="14">
      <c r="B933" s="17"/>
      <c r="C933" s="2"/>
      <c r="D933" s="2"/>
      <c r="E933" s="14"/>
      <c r="F933" s="2"/>
      <c r="G933" s="2"/>
      <c r="H933" s="2"/>
      <c r="I933" s="2"/>
      <c r="J933" s="2"/>
      <c r="K933" s="2"/>
      <c r="L933" s="2"/>
      <c r="M933" s="2"/>
      <c r="N933" s="2"/>
      <c r="O933" s="2"/>
    </row>
    <row r="934" spans="2:15" ht="14">
      <c r="B934" s="17"/>
      <c r="C934" s="2"/>
      <c r="D934" s="2"/>
      <c r="E934" s="14"/>
      <c r="F934" s="2"/>
      <c r="G934" s="2"/>
      <c r="H934" s="2"/>
      <c r="I934" s="2"/>
      <c r="J934" s="2"/>
      <c r="K934" s="2"/>
      <c r="L934" s="2"/>
      <c r="M934" s="2"/>
      <c r="N934" s="2"/>
      <c r="O934" s="2"/>
    </row>
    <row r="935" spans="2:15" ht="14">
      <c r="B935" s="17"/>
      <c r="C935" s="2"/>
      <c r="D935" s="2"/>
      <c r="E935" s="14"/>
      <c r="F935" s="2"/>
      <c r="G935" s="2"/>
      <c r="H935" s="2"/>
      <c r="I935" s="2"/>
      <c r="J935" s="2"/>
      <c r="K935" s="2"/>
      <c r="L935" s="2"/>
      <c r="M935" s="2"/>
      <c r="N935" s="2"/>
      <c r="O935" s="2"/>
    </row>
    <row r="936" spans="2:15" ht="14">
      <c r="B936" s="17"/>
      <c r="C936" s="2"/>
      <c r="D936" s="2"/>
      <c r="E936" s="14"/>
      <c r="F936" s="2"/>
      <c r="G936" s="2"/>
      <c r="H936" s="2"/>
      <c r="I936" s="2"/>
      <c r="J936" s="2"/>
      <c r="K936" s="2"/>
      <c r="L936" s="2"/>
      <c r="M936" s="2"/>
      <c r="N936" s="2"/>
      <c r="O936" s="2"/>
    </row>
    <row r="937" spans="2:15" ht="14">
      <c r="B937" s="17"/>
      <c r="C937" s="2"/>
      <c r="D937" s="2"/>
      <c r="E937" s="14"/>
      <c r="F937" s="2"/>
      <c r="G937" s="2"/>
      <c r="H937" s="2"/>
      <c r="I937" s="2"/>
      <c r="J937" s="2"/>
      <c r="K937" s="2"/>
      <c r="L937" s="2"/>
      <c r="M937" s="2"/>
      <c r="N937" s="2"/>
      <c r="O937" s="2"/>
    </row>
    <row r="938" spans="2:15" ht="14">
      <c r="B938" s="17"/>
      <c r="C938" s="2"/>
      <c r="D938" s="2"/>
      <c r="E938" s="14"/>
      <c r="F938" s="2"/>
      <c r="G938" s="2"/>
      <c r="H938" s="2"/>
      <c r="I938" s="2"/>
      <c r="J938" s="2"/>
      <c r="K938" s="2"/>
      <c r="L938" s="2"/>
      <c r="M938" s="2"/>
      <c r="N938" s="2"/>
      <c r="O938" s="2"/>
    </row>
    <row r="939" spans="2:15" ht="14">
      <c r="B939" s="17"/>
      <c r="C939" s="2"/>
      <c r="D939" s="2"/>
      <c r="E939" s="14"/>
      <c r="F939" s="2"/>
      <c r="G939" s="2"/>
      <c r="H939" s="2"/>
      <c r="I939" s="2"/>
      <c r="J939" s="2"/>
      <c r="K939" s="2"/>
      <c r="L939" s="2"/>
      <c r="M939" s="2"/>
      <c r="N939" s="2"/>
      <c r="O939" s="2"/>
    </row>
    <row r="940" spans="2:15" ht="14">
      <c r="B940" s="17"/>
      <c r="C940" s="2"/>
      <c r="D940" s="2"/>
      <c r="E940" s="14"/>
      <c r="F940" s="2"/>
      <c r="G940" s="2"/>
      <c r="H940" s="2"/>
      <c r="I940" s="2"/>
      <c r="J940" s="2"/>
      <c r="K940" s="2"/>
      <c r="L940" s="2"/>
      <c r="M940" s="2"/>
      <c r="N940" s="2"/>
      <c r="O940" s="2"/>
    </row>
    <row r="941" spans="2:15" ht="14">
      <c r="B941" s="17"/>
      <c r="C941" s="2"/>
      <c r="D941" s="2"/>
      <c r="E941" s="14"/>
      <c r="F941" s="2"/>
      <c r="G941" s="2"/>
      <c r="H941" s="2"/>
      <c r="I941" s="2"/>
      <c r="J941" s="2"/>
      <c r="K941" s="2"/>
      <c r="L941" s="2"/>
      <c r="M941" s="2"/>
      <c r="N941" s="2"/>
      <c r="O941" s="2"/>
    </row>
    <row r="942" spans="2:15" ht="14">
      <c r="B942" s="17"/>
      <c r="C942" s="2"/>
      <c r="D942" s="2"/>
      <c r="E942" s="14"/>
      <c r="F942" s="2"/>
      <c r="G942" s="2"/>
      <c r="H942" s="2"/>
      <c r="I942" s="2"/>
      <c r="J942" s="2"/>
      <c r="K942" s="2"/>
      <c r="L942" s="2"/>
      <c r="M942" s="2"/>
      <c r="N942" s="2"/>
      <c r="O942" s="2"/>
    </row>
    <row r="943" spans="2:15" ht="14">
      <c r="B943" s="17"/>
      <c r="C943" s="2"/>
      <c r="D943" s="2"/>
      <c r="E943" s="14"/>
      <c r="F943" s="2"/>
      <c r="G943" s="2"/>
      <c r="H943" s="2"/>
      <c r="I943" s="2"/>
      <c r="J943" s="2"/>
      <c r="K943" s="2"/>
      <c r="L943" s="2"/>
      <c r="M943" s="2"/>
      <c r="N943" s="2"/>
      <c r="O943" s="2"/>
    </row>
    <row r="944" spans="2:15" ht="14">
      <c r="B944" s="17"/>
      <c r="C944" s="2"/>
      <c r="D944" s="2"/>
      <c r="E944" s="14"/>
      <c r="F944" s="2"/>
      <c r="G944" s="2"/>
      <c r="H944" s="2"/>
      <c r="I944" s="2"/>
      <c r="J944" s="2"/>
      <c r="K944" s="2"/>
      <c r="L944" s="2"/>
      <c r="M944" s="2"/>
      <c r="N944" s="2"/>
      <c r="O944" s="2"/>
    </row>
    <row r="945" spans="2:15" ht="14">
      <c r="B945" s="17"/>
      <c r="C945" s="2"/>
      <c r="D945" s="2"/>
      <c r="E945" s="14"/>
      <c r="F945" s="2"/>
      <c r="G945" s="2"/>
      <c r="H945" s="2"/>
      <c r="I945" s="2"/>
      <c r="J945" s="2"/>
      <c r="K945" s="2"/>
      <c r="L945" s="2"/>
      <c r="M945" s="2"/>
      <c r="N945" s="2"/>
      <c r="O945" s="2"/>
    </row>
    <row r="946" spans="2:15" ht="14">
      <c r="B946" s="17"/>
      <c r="C946" s="2"/>
      <c r="D946" s="2"/>
      <c r="E946" s="14"/>
      <c r="F946" s="2"/>
      <c r="G946" s="2"/>
      <c r="H946" s="2"/>
      <c r="I946" s="2"/>
      <c r="J946" s="2"/>
      <c r="K946" s="2"/>
      <c r="L946" s="2"/>
      <c r="M946" s="2"/>
      <c r="N946" s="2"/>
      <c r="O946" s="2"/>
    </row>
    <row r="947" spans="2:15" ht="14">
      <c r="B947" s="17"/>
      <c r="C947" s="2"/>
      <c r="D947" s="2"/>
      <c r="E947" s="14"/>
      <c r="F947" s="2"/>
      <c r="G947" s="2"/>
      <c r="H947" s="2"/>
      <c r="I947" s="2"/>
      <c r="J947" s="2"/>
      <c r="K947" s="2"/>
      <c r="L947" s="2"/>
      <c r="M947" s="2"/>
      <c r="N947" s="2"/>
      <c r="O947" s="2"/>
    </row>
    <row r="948" spans="2:15" ht="14">
      <c r="B948" s="17"/>
      <c r="C948" s="2"/>
      <c r="D948" s="2"/>
      <c r="E948" s="14"/>
      <c r="F948" s="2"/>
      <c r="G948" s="2"/>
      <c r="H948" s="2"/>
      <c r="I948" s="2"/>
      <c r="J948" s="2"/>
      <c r="K948" s="2"/>
      <c r="L948" s="2"/>
      <c r="M948" s="2"/>
      <c r="N948" s="2"/>
      <c r="O948" s="2"/>
    </row>
    <row r="949" spans="2:15" ht="14">
      <c r="B949" s="17"/>
      <c r="C949" s="2"/>
      <c r="D949" s="2"/>
      <c r="E949" s="14"/>
      <c r="F949" s="2"/>
      <c r="G949" s="2"/>
      <c r="H949" s="2"/>
      <c r="I949" s="2"/>
      <c r="J949" s="2"/>
      <c r="K949" s="2"/>
      <c r="L949" s="2"/>
      <c r="M949" s="2"/>
      <c r="N949" s="2"/>
      <c r="O949" s="2"/>
    </row>
    <row r="950" spans="2:15" ht="14">
      <c r="B950" s="17"/>
      <c r="C950" s="2"/>
      <c r="D950" s="2"/>
      <c r="E950" s="14"/>
      <c r="F950" s="2"/>
      <c r="G950" s="2"/>
      <c r="H950" s="2"/>
      <c r="I950" s="2"/>
      <c r="J950" s="2"/>
      <c r="K950" s="2"/>
      <c r="L950" s="2"/>
      <c r="M950" s="2"/>
      <c r="N950" s="2"/>
      <c r="O950" s="2"/>
    </row>
    <row r="951" spans="2:15" ht="14">
      <c r="B951" s="17"/>
      <c r="C951" s="2"/>
      <c r="D951" s="2"/>
      <c r="E951" s="14"/>
      <c r="F951" s="2"/>
      <c r="G951" s="2"/>
      <c r="H951" s="2"/>
      <c r="I951" s="2"/>
      <c r="J951" s="2"/>
      <c r="K951" s="2"/>
      <c r="L951" s="2"/>
      <c r="M951" s="2"/>
      <c r="N951" s="2"/>
      <c r="O951" s="2"/>
    </row>
    <row r="952" spans="2:15" ht="14">
      <c r="B952" s="17"/>
      <c r="C952" s="2"/>
      <c r="D952" s="2"/>
      <c r="E952" s="14"/>
      <c r="F952" s="2"/>
      <c r="G952" s="2"/>
      <c r="H952" s="2"/>
      <c r="I952" s="2"/>
      <c r="J952" s="2"/>
      <c r="K952" s="2"/>
      <c r="L952" s="2"/>
      <c r="M952" s="2"/>
      <c r="N952" s="2"/>
      <c r="O952" s="2"/>
    </row>
    <row r="953" spans="2:15" ht="14">
      <c r="B953" s="17"/>
      <c r="C953" s="2"/>
      <c r="D953" s="2"/>
      <c r="E953" s="14"/>
      <c r="F953" s="2"/>
      <c r="G953" s="2"/>
      <c r="H953" s="2"/>
      <c r="I953" s="2"/>
      <c r="J953" s="2"/>
      <c r="K953" s="2"/>
      <c r="L953" s="2"/>
      <c r="M953" s="2"/>
      <c r="N953" s="2"/>
      <c r="O953" s="2"/>
    </row>
    <row r="954" spans="2:15" ht="14">
      <c r="B954" s="17"/>
      <c r="C954" s="2"/>
      <c r="D954" s="2"/>
      <c r="E954" s="14"/>
      <c r="F954" s="2"/>
      <c r="G954" s="2"/>
      <c r="H954" s="2"/>
      <c r="I954" s="2"/>
      <c r="J954" s="2"/>
      <c r="K954" s="2"/>
      <c r="L954" s="2"/>
      <c r="M954" s="2"/>
      <c r="N954" s="2"/>
      <c r="O954" s="2"/>
    </row>
    <row r="955" spans="2:15" ht="14">
      <c r="B955" s="17"/>
      <c r="C955" s="2"/>
      <c r="D955" s="2"/>
      <c r="E955" s="14"/>
      <c r="F955" s="2"/>
      <c r="G955" s="2"/>
      <c r="H955" s="2"/>
      <c r="I955" s="2"/>
      <c r="J955" s="2"/>
      <c r="K955" s="2"/>
      <c r="L955" s="2"/>
      <c r="M955" s="2"/>
      <c r="N955" s="2"/>
      <c r="O955" s="2"/>
    </row>
    <row r="956" spans="2:15" ht="14">
      <c r="B956" s="17"/>
      <c r="C956" s="2"/>
      <c r="D956" s="2"/>
      <c r="E956" s="14"/>
      <c r="F956" s="2"/>
      <c r="G956" s="2"/>
      <c r="H956" s="2"/>
      <c r="I956" s="2"/>
      <c r="J956" s="2"/>
      <c r="K956" s="2"/>
      <c r="L956" s="2"/>
      <c r="M956" s="2"/>
      <c r="N956" s="2"/>
      <c r="O956" s="2"/>
    </row>
    <row r="957" spans="2:15" ht="14">
      <c r="B957" s="17"/>
      <c r="C957" s="2"/>
      <c r="D957" s="2"/>
      <c r="E957" s="14"/>
      <c r="F957" s="2"/>
      <c r="G957" s="2"/>
      <c r="H957" s="2"/>
      <c r="I957" s="2"/>
      <c r="J957" s="2"/>
      <c r="K957" s="2"/>
      <c r="L957" s="2"/>
      <c r="M957" s="2"/>
      <c r="N957" s="2"/>
      <c r="O957" s="2"/>
    </row>
    <row r="958" spans="2:15" ht="14">
      <c r="B958" s="17"/>
      <c r="C958" s="2"/>
      <c r="D958" s="2"/>
      <c r="E958" s="14"/>
      <c r="F958" s="2"/>
      <c r="G958" s="2"/>
      <c r="H958" s="2"/>
      <c r="I958" s="2"/>
      <c r="J958" s="2"/>
      <c r="K958" s="2"/>
      <c r="L958" s="2"/>
      <c r="M958" s="2"/>
      <c r="N958" s="2"/>
      <c r="O958" s="2"/>
    </row>
    <row r="959" spans="2:15" ht="14">
      <c r="B959" s="17"/>
      <c r="C959" s="2"/>
      <c r="D959" s="2"/>
      <c r="E959" s="14"/>
      <c r="F959" s="2"/>
      <c r="G959" s="2"/>
      <c r="H959" s="2"/>
      <c r="I959" s="2"/>
      <c r="J959" s="2"/>
      <c r="K959" s="2"/>
      <c r="L959" s="2"/>
      <c r="M959" s="2"/>
      <c r="N959" s="2"/>
      <c r="O959" s="2"/>
    </row>
    <row r="960" spans="2:15" ht="14">
      <c r="B960" s="17"/>
      <c r="C960" s="2"/>
      <c r="D960" s="2"/>
      <c r="E960" s="14"/>
      <c r="F960" s="2"/>
      <c r="G960" s="2"/>
      <c r="H960" s="2"/>
      <c r="I960" s="2"/>
      <c r="J960" s="2"/>
      <c r="K960" s="2"/>
      <c r="L960" s="2"/>
      <c r="M960" s="2"/>
      <c r="N960" s="2"/>
      <c r="O960" s="2"/>
    </row>
    <row r="961" spans="2:15" ht="14">
      <c r="B961" s="17"/>
      <c r="C961" s="2"/>
      <c r="D961" s="2"/>
      <c r="E961" s="14"/>
      <c r="F961" s="2"/>
      <c r="G961" s="2"/>
      <c r="H961" s="2"/>
      <c r="I961" s="2"/>
      <c r="J961" s="2"/>
      <c r="K961" s="2"/>
      <c r="L961" s="2"/>
      <c r="M961" s="2"/>
      <c r="N961" s="2"/>
      <c r="O961" s="2"/>
    </row>
    <row r="962" spans="2:15" ht="14">
      <c r="B962" s="17"/>
      <c r="C962" s="2"/>
      <c r="D962" s="2"/>
      <c r="E962" s="14"/>
      <c r="F962" s="2"/>
      <c r="G962" s="2"/>
      <c r="H962" s="2"/>
      <c r="I962" s="2"/>
      <c r="J962" s="2"/>
      <c r="K962" s="2"/>
      <c r="L962" s="2"/>
      <c r="M962" s="2"/>
      <c r="N962" s="2"/>
      <c r="O962" s="2"/>
    </row>
    <row r="963" spans="2:15" ht="14">
      <c r="B963" s="17"/>
      <c r="C963" s="2"/>
      <c r="D963" s="2"/>
      <c r="E963" s="14"/>
      <c r="F963" s="2"/>
      <c r="G963" s="2"/>
      <c r="H963" s="2"/>
      <c r="I963" s="2"/>
      <c r="J963" s="2"/>
      <c r="K963" s="2"/>
      <c r="L963" s="2"/>
      <c r="M963" s="2"/>
      <c r="N963" s="2"/>
      <c r="O963" s="2"/>
    </row>
    <row r="964" spans="2:15" ht="14">
      <c r="B964" s="17"/>
      <c r="C964" s="2"/>
      <c r="D964" s="2"/>
      <c r="E964" s="14"/>
      <c r="F964" s="2"/>
      <c r="G964" s="2"/>
      <c r="H964" s="2"/>
      <c r="I964" s="2"/>
      <c r="J964" s="2"/>
      <c r="K964" s="2"/>
      <c r="L964" s="2"/>
      <c r="M964" s="2"/>
      <c r="N964" s="2"/>
      <c r="O964" s="2"/>
    </row>
    <row r="965" spans="2:15" ht="14">
      <c r="B965" s="17"/>
      <c r="C965" s="2"/>
      <c r="D965" s="2"/>
      <c r="E965" s="14"/>
      <c r="F965" s="2"/>
      <c r="G965" s="2"/>
      <c r="H965" s="2"/>
      <c r="I965" s="2"/>
      <c r="J965" s="2"/>
      <c r="K965" s="2"/>
      <c r="L965" s="2"/>
      <c r="M965" s="2"/>
      <c r="N965" s="2"/>
      <c r="O965" s="2"/>
    </row>
    <row r="966" spans="2:15" ht="14">
      <c r="B966" s="17"/>
      <c r="C966" s="2"/>
      <c r="D966" s="2"/>
      <c r="E966" s="14"/>
      <c r="F966" s="2"/>
      <c r="G966" s="2"/>
      <c r="H966" s="2"/>
      <c r="I966" s="2"/>
      <c r="J966" s="2"/>
      <c r="K966" s="2"/>
      <c r="L966" s="2"/>
      <c r="M966" s="2"/>
      <c r="N966" s="2"/>
      <c r="O966" s="2"/>
    </row>
    <row r="967" spans="2:15" ht="14">
      <c r="B967" s="17"/>
      <c r="C967" s="2"/>
      <c r="D967" s="2"/>
      <c r="E967" s="14"/>
      <c r="F967" s="2"/>
      <c r="G967" s="2"/>
      <c r="H967" s="2"/>
      <c r="I967" s="2"/>
      <c r="J967" s="2"/>
      <c r="K967" s="2"/>
      <c r="L967" s="2"/>
      <c r="M967" s="2"/>
      <c r="N967" s="2"/>
      <c r="O967" s="2"/>
    </row>
    <row r="968" spans="2:15" ht="14">
      <c r="B968" s="17"/>
      <c r="C968" s="2"/>
      <c r="D968" s="2"/>
      <c r="E968" s="14"/>
      <c r="F968" s="2"/>
      <c r="G968" s="2"/>
      <c r="H968" s="2"/>
      <c r="I968" s="2"/>
      <c r="J968" s="2"/>
      <c r="K968" s="2"/>
      <c r="L968" s="2"/>
      <c r="M968" s="2"/>
      <c r="N968" s="2"/>
      <c r="O968" s="2"/>
    </row>
    <row r="969" spans="2:15" ht="14">
      <c r="B969" s="17"/>
      <c r="C969" s="2"/>
      <c r="D969" s="2"/>
      <c r="E969" s="14"/>
      <c r="F969" s="2"/>
      <c r="G969" s="2"/>
      <c r="H969" s="2"/>
      <c r="I969" s="2"/>
      <c r="J969" s="2"/>
      <c r="K969" s="2"/>
      <c r="L969" s="2"/>
      <c r="M969" s="2"/>
      <c r="N969" s="2"/>
      <c r="O969" s="2"/>
    </row>
    <row r="970" spans="2:15" ht="14">
      <c r="B970" s="17"/>
      <c r="C970" s="2"/>
      <c r="D970" s="2"/>
      <c r="E970" s="14"/>
      <c r="F970" s="2"/>
      <c r="G970" s="2"/>
      <c r="H970" s="2"/>
      <c r="I970" s="2"/>
      <c r="J970" s="2"/>
      <c r="K970" s="2"/>
      <c r="L970" s="2"/>
      <c r="M970" s="2"/>
      <c r="N970" s="2"/>
      <c r="O970" s="2"/>
    </row>
    <row r="971" spans="2:15" ht="14">
      <c r="B971" s="17"/>
      <c r="C971" s="2"/>
      <c r="D971" s="2"/>
      <c r="E971" s="14"/>
      <c r="F971" s="2"/>
      <c r="G971" s="2"/>
      <c r="H971" s="2"/>
      <c r="I971" s="2"/>
      <c r="J971" s="2"/>
      <c r="K971" s="2"/>
      <c r="L971" s="2"/>
      <c r="M971" s="2"/>
      <c r="N971" s="2"/>
      <c r="O971" s="2"/>
    </row>
    <row r="972" spans="2:15" ht="14">
      <c r="B972" s="17"/>
      <c r="C972" s="2"/>
      <c r="D972" s="2"/>
      <c r="E972" s="14"/>
      <c r="F972" s="2"/>
      <c r="G972" s="2"/>
      <c r="H972" s="2"/>
      <c r="I972" s="2"/>
      <c r="J972" s="2"/>
      <c r="K972" s="2"/>
      <c r="L972" s="2"/>
      <c r="M972" s="2"/>
      <c r="N972" s="2"/>
      <c r="O972" s="2"/>
    </row>
    <row r="973" spans="2:15" ht="14">
      <c r="B973" s="17"/>
      <c r="C973" s="2"/>
      <c r="D973" s="2"/>
      <c r="E973" s="14"/>
      <c r="F973" s="2"/>
      <c r="G973" s="2"/>
      <c r="H973" s="2"/>
      <c r="I973" s="2"/>
      <c r="J973" s="2"/>
      <c r="K973" s="2"/>
      <c r="L973" s="2"/>
      <c r="M973" s="2"/>
      <c r="N973" s="2"/>
      <c r="O973" s="2"/>
    </row>
    <row r="974" spans="2:15" ht="14">
      <c r="B974" s="17"/>
      <c r="C974" s="2"/>
      <c r="D974" s="2"/>
      <c r="E974" s="14"/>
      <c r="F974" s="2"/>
      <c r="G974" s="2"/>
      <c r="H974" s="2"/>
      <c r="I974" s="2"/>
      <c r="J974" s="2"/>
      <c r="K974" s="2"/>
      <c r="L974" s="2"/>
      <c r="M974" s="2"/>
      <c r="N974" s="2"/>
      <c r="O974" s="2"/>
    </row>
    <row r="975" spans="2:15" ht="14">
      <c r="B975" s="17"/>
      <c r="C975" s="2"/>
      <c r="D975" s="2"/>
      <c r="E975" s="14"/>
      <c r="F975" s="2"/>
      <c r="G975" s="2"/>
      <c r="H975" s="2"/>
      <c r="I975" s="2"/>
      <c r="J975" s="2"/>
      <c r="K975" s="2"/>
      <c r="L975" s="2"/>
      <c r="M975" s="2"/>
      <c r="N975" s="2"/>
      <c r="O975" s="2"/>
    </row>
    <row r="976" spans="2:15" ht="14">
      <c r="B976" s="17"/>
      <c r="C976" s="2"/>
      <c r="D976" s="2"/>
      <c r="E976" s="14"/>
      <c r="F976" s="2"/>
      <c r="G976" s="2"/>
      <c r="H976" s="2"/>
      <c r="I976" s="2"/>
      <c r="J976" s="2"/>
      <c r="K976" s="2"/>
      <c r="L976" s="2"/>
      <c r="M976" s="2"/>
      <c r="N976" s="2"/>
      <c r="O976" s="2"/>
    </row>
    <row r="977" spans="2:15" ht="14">
      <c r="B977" s="17"/>
      <c r="C977" s="2"/>
      <c r="D977" s="2"/>
      <c r="E977" s="14"/>
      <c r="F977" s="2"/>
      <c r="G977" s="2"/>
      <c r="H977" s="2"/>
      <c r="I977" s="2"/>
      <c r="J977" s="2"/>
      <c r="K977" s="2"/>
      <c r="L977" s="2"/>
      <c r="M977" s="2"/>
      <c r="N977" s="2"/>
      <c r="O977" s="2"/>
    </row>
    <row r="978" spans="2:15" ht="14">
      <c r="B978" s="17"/>
      <c r="C978" s="2"/>
      <c r="D978" s="2"/>
      <c r="E978" s="14"/>
      <c r="F978" s="2"/>
      <c r="G978" s="2"/>
      <c r="H978" s="2"/>
      <c r="I978" s="2"/>
      <c r="J978" s="2"/>
      <c r="K978" s="2"/>
      <c r="L978" s="2"/>
      <c r="M978" s="2"/>
      <c r="N978" s="2"/>
      <c r="O978" s="2"/>
    </row>
    <row r="979" spans="2:15" ht="14">
      <c r="B979" s="17"/>
      <c r="C979" s="2"/>
      <c r="D979" s="2"/>
      <c r="E979" s="14"/>
      <c r="F979" s="2"/>
      <c r="G979" s="2"/>
      <c r="H979" s="2"/>
      <c r="I979" s="2"/>
      <c r="J979" s="2"/>
      <c r="K979" s="2"/>
      <c r="L979" s="2"/>
      <c r="M979" s="2"/>
      <c r="N979" s="2"/>
      <c r="O979" s="2"/>
    </row>
    <row r="980" spans="2:15" ht="14">
      <c r="B980" s="17"/>
      <c r="C980" s="2"/>
      <c r="D980" s="2"/>
      <c r="E980" s="14"/>
      <c r="F980" s="2"/>
      <c r="G980" s="2"/>
      <c r="H980" s="2"/>
      <c r="I980" s="2"/>
      <c r="J980" s="2"/>
      <c r="K980" s="2"/>
      <c r="L980" s="2"/>
      <c r="M980" s="2"/>
      <c r="N980" s="2"/>
      <c r="O980" s="2"/>
    </row>
    <row r="981" spans="2:15" ht="14">
      <c r="B981" s="17"/>
      <c r="C981" s="2"/>
      <c r="D981" s="2"/>
      <c r="E981" s="14"/>
      <c r="F981" s="2"/>
      <c r="G981" s="2"/>
      <c r="H981" s="2"/>
      <c r="I981" s="2"/>
      <c r="J981" s="2"/>
      <c r="K981" s="2"/>
      <c r="L981" s="2"/>
      <c r="M981" s="2"/>
      <c r="N981" s="2"/>
      <c r="O981" s="2"/>
    </row>
    <row r="982" spans="2:15" ht="14">
      <c r="B982" s="17"/>
      <c r="C982" s="2"/>
      <c r="D982" s="2"/>
      <c r="E982" s="14"/>
      <c r="F982" s="2"/>
      <c r="G982" s="2"/>
      <c r="H982" s="2"/>
      <c r="I982" s="2"/>
      <c r="J982" s="2"/>
      <c r="K982" s="2"/>
      <c r="L982" s="2"/>
      <c r="M982" s="2"/>
      <c r="N982" s="2"/>
      <c r="O982" s="2"/>
    </row>
    <row r="983" spans="2:15" ht="14">
      <c r="B983" s="17"/>
      <c r="C983" s="2"/>
      <c r="D983" s="2"/>
      <c r="E983" s="14"/>
      <c r="F983" s="2"/>
      <c r="G983" s="2"/>
      <c r="H983" s="2"/>
      <c r="I983" s="2"/>
      <c r="J983" s="2"/>
      <c r="K983" s="2"/>
      <c r="L983" s="2"/>
      <c r="M983" s="2"/>
      <c r="N983" s="2"/>
      <c r="O983" s="2"/>
    </row>
    <row r="984" spans="2:15" ht="14">
      <c r="B984" s="17"/>
      <c r="C984" s="2"/>
      <c r="D984" s="2"/>
      <c r="E984" s="14"/>
      <c r="F984" s="2"/>
      <c r="G984" s="2"/>
      <c r="H984" s="2"/>
      <c r="I984" s="2"/>
      <c r="J984" s="2"/>
      <c r="K984" s="2"/>
      <c r="L984" s="2"/>
      <c r="M984" s="2"/>
      <c r="N984" s="2"/>
      <c r="O984" s="2"/>
    </row>
    <row r="985" spans="2:15" ht="14">
      <c r="B985" s="17"/>
      <c r="C985" s="2"/>
      <c r="D985" s="2"/>
      <c r="E985" s="14"/>
      <c r="F985" s="2"/>
      <c r="G985" s="2"/>
      <c r="H985" s="2"/>
      <c r="I985" s="2"/>
      <c r="J985" s="2"/>
      <c r="K985" s="2"/>
      <c r="L985" s="2"/>
      <c r="M985" s="2"/>
      <c r="N985" s="2"/>
      <c r="O985" s="2"/>
    </row>
    <row r="986" spans="2:15" ht="14">
      <c r="B986" s="17"/>
      <c r="C986" s="2"/>
      <c r="D986" s="2"/>
      <c r="E986" s="14"/>
      <c r="F986" s="2"/>
      <c r="G986" s="2"/>
      <c r="H986" s="2"/>
      <c r="I986" s="2"/>
      <c r="J986" s="2"/>
      <c r="K986" s="2"/>
      <c r="L986" s="2"/>
      <c r="M986" s="2"/>
      <c r="N986" s="2"/>
      <c r="O986" s="2"/>
    </row>
    <row r="987" spans="2:15" ht="14">
      <c r="B987" s="17"/>
      <c r="C987" s="2"/>
      <c r="D987" s="2"/>
      <c r="E987" s="14"/>
      <c r="F987" s="2"/>
      <c r="G987" s="2"/>
      <c r="H987" s="2"/>
      <c r="I987" s="2"/>
      <c r="J987" s="2"/>
      <c r="K987" s="2"/>
      <c r="L987" s="2"/>
      <c r="M987" s="2"/>
      <c r="N987" s="2"/>
      <c r="O987" s="2"/>
    </row>
    <row r="988" spans="2:15" ht="14">
      <c r="B988" s="17"/>
      <c r="C988" s="2"/>
      <c r="D988" s="2"/>
      <c r="E988" s="14"/>
      <c r="F988" s="2"/>
      <c r="G988" s="2"/>
      <c r="H988" s="2"/>
      <c r="I988" s="2"/>
      <c r="J988" s="2"/>
      <c r="K988" s="2"/>
      <c r="L988" s="2"/>
      <c r="M988" s="2"/>
      <c r="N988" s="2"/>
      <c r="O988" s="2"/>
    </row>
    <row r="989" spans="2:15" ht="14">
      <c r="B989" s="17"/>
      <c r="C989" s="2"/>
      <c r="D989" s="2"/>
      <c r="E989" s="14"/>
      <c r="F989" s="2"/>
      <c r="G989" s="2"/>
      <c r="H989" s="2"/>
      <c r="I989" s="2"/>
      <c r="J989" s="2"/>
      <c r="K989" s="2"/>
      <c r="L989" s="2"/>
      <c r="M989" s="2"/>
      <c r="N989" s="2"/>
      <c r="O989" s="2"/>
    </row>
    <row r="990" spans="2:15" ht="14">
      <c r="B990" s="17"/>
      <c r="C990" s="2"/>
      <c r="D990" s="2"/>
      <c r="E990" s="14"/>
      <c r="F990" s="2"/>
      <c r="G990" s="2"/>
      <c r="H990" s="2"/>
      <c r="I990" s="2"/>
      <c r="J990" s="2"/>
      <c r="K990" s="2"/>
      <c r="L990" s="2"/>
      <c r="M990" s="2"/>
      <c r="N990" s="2"/>
      <c r="O990" s="2"/>
    </row>
    <row r="991" spans="2:15" ht="14">
      <c r="B991" s="17"/>
      <c r="C991" s="2"/>
      <c r="D991" s="2"/>
      <c r="E991" s="14"/>
      <c r="F991" s="2"/>
      <c r="G991" s="2"/>
      <c r="H991" s="2"/>
      <c r="I991" s="2"/>
      <c r="J991" s="2"/>
      <c r="K991" s="2"/>
      <c r="L991" s="2"/>
      <c r="M991" s="2"/>
      <c r="N991" s="2"/>
      <c r="O991" s="2"/>
    </row>
    <row r="992" spans="2:15" ht="14">
      <c r="B992" s="17"/>
      <c r="C992" s="2"/>
      <c r="D992" s="2"/>
      <c r="E992" s="14"/>
      <c r="F992" s="2"/>
      <c r="G992" s="2"/>
      <c r="H992" s="2"/>
      <c r="I992" s="2"/>
      <c r="J992" s="2"/>
      <c r="K992" s="2"/>
      <c r="L992" s="2"/>
      <c r="M992" s="2"/>
      <c r="N992" s="2"/>
      <c r="O992" s="2"/>
    </row>
    <row r="993" spans="2:15" ht="14">
      <c r="B993" s="17"/>
      <c r="C993" s="2"/>
      <c r="D993" s="2"/>
      <c r="E993" s="14"/>
      <c r="F993" s="2"/>
      <c r="G993" s="2"/>
      <c r="H993" s="2"/>
      <c r="I993" s="2"/>
      <c r="J993" s="2"/>
      <c r="K993" s="2"/>
      <c r="L993" s="2"/>
      <c r="M993" s="2"/>
      <c r="N993" s="2"/>
      <c r="O993" s="2"/>
    </row>
    <row r="994" spans="2:15" ht="14">
      <c r="B994" s="17"/>
      <c r="C994" s="2"/>
      <c r="D994" s="2"/>
      <c r="E994" s="14"/>
      <c r="F994" s="2"/>
      <c r="G994" s="2"/>
      <c r="H994" s="2"/>
      <c r="I994" s="2"/>
      <c r="J994" s="2"/>
      <c r="K994" s="2"/>
      <c r="L994" s="2"/>
      <c r="M994" s="2"/>
      <c r="N994" s="2"/>
      <c r="O994" s="2"/>
    </row>
    <row r="995" spans="2:15" ht="14">
      <c r="B995" s="17"/>
      <c r="C995" s="2"/>
      <c r="D995" s="2"/>
      <c r="E995" s="14"/>
      <c r="F995" s="2"/>
      <c r="G995" s="2"/>
      <c r="H995" s="2"/>
      <c r="I995" s="2"/>
      <c r="J995" s="2"/>
      <c r="K995" s="2"/>
      <c r="L995" s="2"/>
      <c r="M995" s="2"/>
      <c r="N995" s="2"/>
      <c r="O995" s="2"/>
    </row>
    <row r="996" spans="2:15" ht="14">
      <c r="B996" s="17"/>
      <c r="C996" s="2"/>
      <c r="D996" s="2"/>
      <c r="E996" s="14"/>
      <c r="F996" s="2"/>
      <c r="G996" s="2"/>
      <c r="H996" s="2"/>
      <c r="I996" s="2"/>
      <c r="J996" s="2"/>
      <c r="K996" s="2"/>
      <c r="L996" s="2"/>
      <c r="M996" s="2"/>
      <c r="N996" s="2"/>
      <c r="O996" s="2"/>
    </row>
    <row r="997" spans="2:15" ht="14">
      <c r="B997" s="17"/>
      <c r="C997" s="2"/>
      <c r="D997" s="2"/>
      <c r="E997" s="14"/>
      <c r="F997" s="2"/>
      <c r="G997" s="2"/>
      <c r="H997" s="2"/>
      <c r="I997" s="2"/>
      <c r="J997" s="2"/>
      <c r="K997" s="2"/>
      <c r="L997" s="2"/>
      <c r="M997" s="2"/>
      <c r="N997" s="2"/>
      <c r="O997" s="2"/>
    </row>
    <row r="998" spans="2:15" ht="14">
      <c r="B998" s="17"/>
      <c r="C998" s="2"/>
      <c r="D998" s="2"/>
      <c r="E998" s="14"/>
      <c r="F998" s="2"/>
      <c r="G998" s="2"/>
      <c r="H998" s="2"/>
      <c r="I998" s="2"/>
      <c r="J998" s="2"/>
      <c r="K998" s="2"/>
      <c r="L998" s="2"/>
      <c r="M998" s="2"/>
      <c r="N998" s="2"/>
      <c r="O998" s="2"/>
    </row>
    <row r="999" spans="2:15" ht="14">
      <c r="B999" s="17"/>
      <c r="C999" s="2"/>
      <c r="D999" s="2"/>
      <c r="E999" s="14"/>
      <c r="F999" s="2"/>
      <c r="G999" s="2"/>
      <c r="H999" s="2"/>
      <c r="I999" s="2"/>
      <c r="J999" s="2"/>
      <c r="K999" s="2"/>
      <c r="L999" s="2"/>
      <c r="M999" s="2"/>
      <c r="N999" s="2"/>
      <c r="O999" s="2"/>
    </row>
    <row r="1000" spans="2:15" ht="14">
      <c r="B1000" s="17"/>
      <c r="C1000" s="2"/>
      <c r="D1000" s="2"/>
      <c r="E1000" s="14"/>
      <c r="F1000" s="2"/>
      <c r="G1000" s="2"/>
      <c r="H1000" s="2"/>
      <c r="I1000" s="2"/>
      <c r="J1000" s="2"/>
      <c r="K1000" s="2"/>
      <c r="L1000" s="2"/>
      <c r="M1000" s="2"/>
      <c r="N1000" s="2"/>
      <c r="O1000" s="2"/>
    </row>
    <row r="1001" spans="2:15" ht="14">
      <c r="B1001" s="17"/>
      <c r="C1001" s="2"/>
      <c r="D1001" s="2"/>
      <c r="E1001" s="14"/>
      <c r="F1001" s="2"/>
      <c r="G1001" s="2"/>
      <c r="H1001" s="2"/>
      <c r="I1001" s="2"/>
      <c r="J1001" s="2"/>
      <c r="K1001" s="2"/>
      <c r="L1001" s="2"/>
      <c r="M1001" s="2"/>
      <c r="N1001" s="2"/>
      <c r="O1001" s="2"/>
    </row>
    <row r="1002" spans="2:15" ht="14">
      <c r="B1002" s="17"/>
      <c r="C1002" s="2"/>
      <c r="D1002" s="2"/>
      <c r="E1002" s="14"/>
      <c r="F1002" s="2"/>
      <c r="G1002" s="2"/>
      <c r="H1002" s="2"/>
      <c r="I1002" s="2"/>
      <c r="J1002" s="2"/>
      <c r="K1002" s="2"/>
      <c r="L1002" s="2"/>
      <c r="M1002" s="2"/>
      <c r="N1002" s="2"/>
      <c r="O1002" s="2"/>
    </row>
    <row r="1003" spans="2:15" ht="14">
      <c r="B1003" s="17"/>
      <c r="C1003" s="2"/>
      <c r="D1003" s="2"/>
      <c r="E1003" s="14"/>
      <c r="F1003" s="2"/>
      <c r="G1003" s="2"/>
      <c r="H1003" s="2"/>
      <c r="I1003" s="2"/>
      <c r="J1003" s="2"/>
      <c r="K1003" s="2"/>
      <c r="L1003" s="2"/>
      <c r="M1003" s="2"/>
      <c r="N1003" s="2"/>
      <c r="O1003" s="2"/>
    </row>
    <row r="1004" spans="2:15" ht="14">
      <c r="B1004" s="17"/>
      <c r="C1004" s="2"/>
      <c r="D1004" s="2"/>
      <c r="E1004" s="14"/>
      <c r="F1004" s="2"/>
      <c r="G1004" s="2"/>
      <c r="H1004" s="2"/>
      <c r="I1004" s="2"/>
      <c r="J1004" s="2"/>
      <c r="K1004" s="2"/>
      <c r="L1004" s="2"/>
      <c r="M1004" s="2"/>
      <c r="N1004" s="2"/>
      <c r="O1004" s="2"/>
    </row>
    <row r="1005" spans="2:15" ht="14">
      <c r="B1005" s="17"/>
      <c r="C1005" s="2"/>
      <c r="D1005" s="2"/>
      <c r="E1005" s="14"/>
      <c r="F1005" s="2"/>
      <c r="G1005" s="2"/>
      <c r="H1005" s="2"/>
      <c r="I1005" s="2"/>
      <c r="J1005" s="2"/>
      <c r="K1005" s="2"/>
      <c r="L1005" s="2"/>
      <c r="M1005" s="2"/>
      <c r="N1005" s="2"/>
      <c r="O1005" s="2"/>
    </row>
    <row r="1006" spans="2:15" ht="14">
      <c r="B1006" s="17"/>
      <c r="C1006" s="2"/>
      <c r="D1006" s="2"/>
      <c r="E1006" s="14"/>
      <c r="F1006" s="2"/>
      <c r="G1006" s="2"/>
      <c r="H1006" s="2"/>
      <c r="I1006" s="2"/>
      <c r="J1006" s="2"/>
      <c r="K1006" s="2"/>
      <c r="L1006" s="2"/>
      <c r="M1006" s="2"/>
      <c r="N1006" s="2"/>
      <c r="O1006" s="2"/>
    </row>
    <row r="1007" spans="2:15" ht="14">
      <c r="B1007" s="17"/>
      <c r="C1007" s="2"/>
      <c r="D1007" s="2"/>
      <c r="E1007" s="14"/>
      <c r="F1007" s="2"/>
      <c r="G1007" s="2"/>
      <c r="H1007" s="2"/>
      <c r="I1007" s="2"/>
      <c r="J1007" s="2"/>
      <c r="K1007" s="2"/>
      <c r="L1007" s="2"/>
      <c r="M1007" s="2"/>
      <c r="N1007" s="2"/>
      <c r="O1007" s="2"/>
    </row>
    <row r="1008" spans="2:15" ht="14">
      <c r="B1008" s="17"/>
      <c r="C1008" s="2"/>
      <c r="D1008" s="2"/>
      <c r="E1008" s="14"/>
      <c r="F1008" s="2"/>
      <c r="G1008" s="2"/>
      <c r="H1008" s="2"/>
      <c r="I1008" s="2"/>
      <c r="J1008" s="2"/>
      <c r="K1008" s="2"/>
      <c r="L1008" s="2"/>
      <c r="M1008" s="2"/>
      <c r="N1008" s="2"/>
      <c r="O1008" s="2"/>
    </row>
    <row r="1009" spans="2:15" ht="14">
      <c r="B1009" s="17"/>
      <c r="C1009" s="2"/>
      <c r="D1009" s="2"/>
      <c r="E1009" s="14"/>
      <c r="F1009" s="2"/>
      <c r="G1009" s="2"/>
      <c r="H1009" s="2"/>
      <c r="I1009" s="2"/>
      <c r="J1009" s="2"/>
      <c r="K1009" s="2"/>
      <c r="L1009" s="2"/>
      <c r="M1009" s="2"/>
      <c r="N1009" s="2"/>
      <c r="O1009" s="2"/>
    </row>
    <row r="1010" spans="2:15" ht="14">
      <c r="B1010" s="17"/>
      <c r="C1010" s="2"/>
      <c r="D1010" s="2"/>
      <c r="E1010" s="14"/>
      <c r="F1010" s="2"/>
      <c r="G1010" s="2"/>
      <c r="H1010" s="2"/>
      <c r="I1010" s="2"/>
      <c r="J1010" s="2"/>
      <c r="K1010" s="2"/>
      <c r="L1010" s="2"/>
      <c r="M1010" s="2"/>
      <c r="N1010" s="2"/>
      <c r="O1010" s="2"/>
    </row>
    <row r="1011" spans="2:15" ht="14">
      <c r="B1011" s="17"/>
      <c r="C1011" s="2"/>
      <c r="D1011" s="2"/>
      <c r="E1011" s="14"/>
      <c r="F1011" s="2"/>
      <c r="G1011" s="2"/>
      <c r="H1011" s="2"/>
      <c r="I1011" s="2"/>
      <c r="J1011" s="2"/>
      <c r="K1011" s="2"/>
      <c r="L1011" s="2"/>
      <c r="M1011" s="2"/>
      <c r="N1011" s="2"/>
      <c r="O1011" s="2"/>
    </row>
    <row r="1012" spans="2:15" ht="14">
      <c r="B1012" s="17"/>
      <c r="C1012" s="2"/>
      <c r="D1012" s="2"/>
      <c r="E1012" s="14"/>
      <c r="F1012" s="2"/>
      <c r="G1012" s="2"/>
      <c r="H1012" s="2"/>
      <c r="I1012" s="2"/>
      <c r="J1012" s="2"/>
      <c r="K1012" s="2"/>
      <c r="L1012" s="2"/>
      <c r="M1012" s="2"/>
      <c r="N1012" s="2"/>
      <c r="O1012" s="2"/>
    </row>
    <row r="1013" spans="2:15" ht="14">
      <c r="B1013" s="17"/>
      <c r="C1013" s="2"/>
      <c r="D1013" s="2"/>
      <c r="E1013" s="14"/>
      <c r="F1013" s="2"/>
      <c r="G1013" s="2"/>
      <c r="H1013" s="2"/>
      <c r="I1013" s="2"/>
      <c r="J1013" s="2"/>
      <c r="K1013" s="2"/>
      <c r="L1013" s="2"/>
      <c r="M1013" s="2"/>
      <c r="N1013" s="2"/>
      <c r="O1013" s="2"/>
    </row>
    <row r="1014" spans="2:15" ht="14">
      <c r="B1014" s="17"/>
      <c r="C1014" s="2"/>
      <c r="D1014" s="2"/>
      <c r="E1014" s="14"/>
      <c r="F1014" s="2"/>
      <c r="G1014" s="2"/>
      <c r="H1014" s="2"/>
      <c r="I1014" s="2"/>
      <c r="J1014" s="2"/>
      <c r="K1014" s="2"/>
      <c r="L1014" s="2"/>
      <c r="M1014" s="2"/>
      <c r="N1014" s="2"/>
      <c r="O1014" s="2"/>
    </row>
    <row r="1015" spans="2:15" ht="14">
      <c r="B1015" s="17"/>
      <c r="C1015" s="2"/>
      <c r="D1015" s="2"/>
      <c r="E1015" s="14"/>
      <c r="F1015" s="2"/>
      <c r="G1015" s="2"/>
      <c r="H1015" s="2"/>
      <c r="I1015" s="2"/>
      <c r="J1015" s="2"/>
      <c r="K1015" s="2"/>
      <c r="L1015" s="2"/>
      <c r="M1015" s="2"/>
      <c r="N1015" s="2"/>
      <c r="O1015" s="2"/>
    </row>
    <row r="1016" spans="2:15" ht="14">
      <c r="B1016" s="17"/>
      <c r="C1016" s="2"/>
      <c r="D1016" s="2"/>
      <c r="E1016" s="14"/>
      <c r="F1016" s="2"/>
      <c r="G1016" s="2"/>
      <c r="H1016" s="2"/>
      <c r="I1016" s="2"/>
      <c r="J1016" s="2"/>
      <c r="K1016" s="2"/>
      <c r="L1016" s="2"/>
      <c r="M1016" s="2"/>
      <c r="N1016" s="2"/>
      <c r="O1016" s="2"/>
    </row>
    <row r="1017" spans="2:15" ht="14">
      <c r="B1017" s="17"/>
      <c r="C1017" s="2"/>
      <c r="D1017" s="2"/>
      <c r="E1017" s="14"/>
      <c r="F1017" s="2"/>
      <c r="G1017" s="2"/>
      <c r="H1017" s="2"/>
      <c r="I1017" s="2"/>
      <c r="J1017" s="2"/>
      <c r="K1017" s="2"/>
      <c r="L1017" s="2"/>
      <c r="M1017" s="2"/>
      <c r="N1017" s="2"/>
      <c r="O1017" s="2"/>
    </row>
    <row r="1018" spans="2:15" ht="14">
      <c r="B1018" s="17"/>
      <c r="C1018" s="2"/>
      <c r="D1018" s="2"/>
      <c r="E1018" s="14"/>
      <c r="F1018" s="2"/>
      <c r="G1018" s="2"/>
      <c r="H1018" s="2"/>
      <c r="I1018" s="2"/>
      <c r="J1018" s="2"/>
      <c r="K1018" s="2"/>
      <c r="L1018" s="2"/>
      <c r="M1018" s="2"/>
      <c r="N1018" s="2"/>
      <c r="O1018" s="2"/>
    </row>
    <row r="1019" spans="2:15" ht="14">
      <c r="B1019" s="17"/>
      <c r="C1019" s="2"/>
      <c r="D1019" s="2"/>
      <c r="E1019" s="14"/>
      <c r="F1019" s="2"/>
      <c r="G1019" s="2"/>
      <c r="H1019" s="2"/>
      <c r="I1019" s="2"/>
      <c r="J1019" s="2"/>
      <c r="K1019" s="2"/>
      <c r="L1019" s="2"/>
      <c r="M1019" s="2"/>
      <c r="N1019" s="2"/>
      <c r="O1019" s="2"/>
    </row>
    <row r="1020" spans="2:15" ht="14">
      <c r="B1020" s="17"/>
      <c r="C1020" s="2"/>
      <c r="D1020" s="2"/>
      <c r="E1020" s="14"/>
      <c r="F1020" s="2"/>
      <c r="G1020" s="2"/>
      <c r="H1020" s="2"/>
      <c r="I1020" s="2"/>
      <c r="J1020" s="2"/>
      <c r="K1020" s="2"/>
      <c r="L1020" s="2"/>
      <c r="M1020" s="2"/>
      <c r="N1020" s="2"/>
      <c r="O1020" s="2"/>
    </row>
    <row r="1021" spans="2:15" ht="14">
      <c r="B1021" s="17"/>
      <c r="C1021" s="2"/>
      <c r="D1021" s="2"/>
      <c r="E1021" s="14"/>
      <c r="F1021" s="2"/>
      <c r="G1021" s="2"/>
      <c r="H1021" s="2"/>
      <c r="I1021" s="2"/>
      <c r="J1021" s="2"/>
      <c r="K1021" s="2"/>
      <c r="L1021" s="2"/>
      <c r="M1021" s="2"/>
      <c r="N1021" s="2"/>
      <c r="O1021" s="2"/>
    </row>
    <row r="1022" spans="2:15" ht="14">
      <c r="B1022" s="17"/>
      <c r="C1022" s="2"/>
      <c r="D1022" s="2"/>
      <c r="E1022" s="14"/>
      <c r="F1022" s="2"/>
      <c r="G1022" s="2"/>
      <c r="H1022" s="2"/>
      <c r="I1022" s="2"/>
      <c r="J1022" s="2"/>
      <c r="K1022" s="2"/>
      <c r="L1022" s="2"/>
      <c r="M1022" s="2"/>
      <c r="N1022" s="2"/>
      <c r="O1022" s="2"/>
    </row>
    <row r="1023" spans="2:15" ht="14">
      <c r="B1023" s="17"/>
      <c r="C1023" s="2"/>
      <c r="D1023" s="2"/>
      <c r="E1023" s="14"/>
      <c r="F1023" s="2"/>
      <c r="G1023" s="2"/>
      <c r="H1023" s="2"/>
      <c r="I1023" s="2"/>
      <c r="J1023" s="2"/>
      <c r="K1023" s="2"/>
      <c r="L1023" s="2"/>
      <c r="M1023" s="2"/>
      <c r="N1023" s="2"/>
      <c r="O1023" s="2"/>
    </row>
    <row r="1024" spans="2:15" ht="14">
      <c r="B1024" s="17"/>
      <c r="C1024" s="2"/>
      <c r="D1024" s="2"/>
      <c r="E1024" s="14"/>
      <c r="F1024" s="2"/>
      <c r="G1024" s="2"/>
      <c r="H1024" s="2"/>
      <c r="I1024" s="2"/>
      <c r="J1024" s="2"/>
      <c r="K1024" s="2"/>
      <c r="L1024" s="2"/>
      <c r="M1024" s="2"/>
      <c r="N1024" s="2"/>
      <c r="O1024" s="2"/>
    </row>
    <row r="1025" spans="2:15" ht="14">
      <c r="B1025" s="17"/>
      <c r="C1025" s="2"/>
      <c r="D1025" s="2"/>
      <c r="E1025" s="14"/>
      <c r="F1025" s="2"/>
      <c r="G1025" s="2"/>
      <c r="H1025" s="2"/>
      <c r="I1025" s="2"/>
      <c r="J1025" s="2"/>
      <c r="K1025" s="2"/>
      <c r="L1025" s="2"/>
      <c r="M1025" s="2"/>
      <c r="N1025" s="2"/>
      <c r="O1025" s="2"/>
    </row>
  </sheetData>
  <mergeCells count="38">
    <mergeCell ref="B2:AA2"/>
    <mergeCell ref="B1:AA1"/>
    <mergeCell ref="P3:S4"/>
    <mergeCell ref="T3:W4"/>
    <mergeCell ref="M3:O4"/>
    <mergeCell ref="F3:I4"/>
    <mergeCell ref="B3:E4"/>
    <mergeCell ref="X3:AA4"/>
    <mergeCell ref="J3:L4"/>
    <mergeCell ref="B53:K53"/>
    <mergeCell ref="B16:B20"/>
    <mergeCell ref="B50:K50"/>
    <mergeCell ref="B51:K51"/>
    <mergeCell ref="B52:K52"/>
    <mergeCell ref="B40:B46"/>
    <mergeCell ref="B21:B27"/>
    <mergeCell ref="B34:B39"/>
    <mergeCell ref="B28:B33"/>
    <mergeCell ref="B5:E5"/>
    <mergeCell ref="B7:B8"/>
    <mergeCell ref="B9:B11"/>
    <mergeCell ref="B12:B15"/>
    <mergeCell ref="B48:K49"/>
    <mergeCell ref="C55:S57"/>
    <mergeCell ref="C58:E59"/>
    <mergeCell ref="F58:H59"/>
    <mergeCell ref="I58:K59"/>
    <mergeCell ref="L58:O59"/>
    <mergeCell ref="P58:S59"/>
    <mergeCell ref="B76:B82"/>
    <mergeCell ref="B83:B88"/>
    <mergeCell ref="B89:B94"/>
    <mergeCell ref="B95:B100"/>
    <mergeCell ref="C60:E60"/>
    <mergeCell ref="B62:B63"/>
    <mergeCell ref="B64:B66"/>
    <mergeCell ref="B67:B70"/>
    <mergeCell ref="B71:B75"/>
  </mergeCells>
  <printOptions horizontalCentered="1"/>
  <pageMargins left="0.25" right="0.25" top="0.75" bottom="0.75" header="0.3" footer="0.3"/>
  <pageSetup fitToHeight="0" orientation="landscape"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11A76-3526-41C6-849B-23828B3D8E18}">
  <dimension ref="A1:J901"/>
  <sheetViews>
    <sheetView zoomScale="63" zoomScaleNormal="63" workbookViewId="0">
      <selection activeCell="N9" sqref="N9"/>
    </sheetView>
  </sheetViews>
  <sheetFormatPr baseColWidth="10" defaultColWidth="12.58203125" defaultRowHeight="15" customHeight="1"/>
  <cols>
    <col min="1" max="1" width="14.83203125" style="74" customWidth="1"/>
    <col min="2" max="2" width="28.5" style="74" customWidth="1"/>
    <col min="3" max="3" width="13.75" style="74" customWidth="1"/>
    <col min="4" max="4" width="11.75" style="74" customWidth="1"/>
    <col min="5" max="5" width="16.75" style="74" customWidth="1"/>
    <col min="6" max="7" width="11.75" style="74" customWidth="1"/>
    <col min="8" max="8" width="16.25" style="74" customWidth="1"/>
    <col min="9" max="9" width="17.5" style="74" customWidth="1"/>
    <col min="10" max="10" width="11.75" style="74" customWidth="1"/>
    <col min="11" max="16384" width="12.58203125" style="74"/>
  </cols>
  <sheetData>
    <row r="1" spans="1:10" ht="15.75" customHeight="1">
      <c r="A1" s="75"/>
      <c r="B1" s="75"/>
      <c r="C1" s="75"/>
      <c r="D1" s="75"/>
      <c r="E1" s="75"/>
      <c r="F1" s="75"/>
      <c r="G1" s="75"/>
      <c r="H1" s="75"/>
      <c r="I1" s="75"/>
      <c r="J1" s="75"/>
    </row>
    <row r="2" spans="1:10" ht="15.75" customHeight="1">
      <c r="A2" s="1005" t="s">
        <v>144</v>
      </c>
      <c r="B2" s="1006"/>
      <c r="C2" s="1006"/>
      <c r="D2" s="1006"/>
      <c r="E2" s="1006"/>
      <c r="F2" s="1006"/>
      <c r="G2" s="1006"/>
      <c r="H2" s="1006"/>
      <c r="I2" s="1006"/>
      <c r="J2" s="1006"/>
    </row>
    <row r="3" spans="1:10" ht="15.75" customHeight="1">
      <c r="A3" s="1006"/>
      <c r="B3" s="1006"/>
      <c r="C3" s="1006"/>
      <c r="D3" s="1006"/>
      <c r="E3" s="1006"/>
      <c r="F3" s="1006"/>
      <c r="G3" s="1006"/>
      <c r="H3" s="1006"/>
      <c r="I3" s="1006"/>
      <c r="J3" s="1006"/>
    </row>
    <row r="4" spans="1:10" ht="15.75" customHeight="1">
      <c r="A4" s="1006"/>
      <c r="B4" s="1006"/>
      <c r="C4" s="1006"/>
      <c r="D4" s="1006"/>
      <c r="E4" s="1006"/>
      <c r="F4" s="1006"/>
      <c r="G4" s="1006"/>
      <c r="H4" s="1006"/>
      <c r="I4" s="1006"/>
      <c r="J4" s="1006"/>
    </row>
    <row r="5" spans="1:10" ht="62.25" customHeight="1">
      <c r="A5" s="1007" t="s">
        <v>145</v>
      </c>
      <c r="B5" s="1008"/>
      <c r="C5" s="1008"/>
      <c r="D5" s="1008"/>
      <c r="E5" s="103" t="s">
        <v>146</v>
      </c>
      <c r="F5" s="103" t="s">
        <v>147</v>
      </c>
      <c r="G5" s="103" t="s">
        <v>148</v>
      </c>
      <c r="H5" s="103" t="s">
        <v>149</v>
      </c>
      <c r="I5" s="104" t="s">
        <v>150</v>
      </c>
      <c r="J5" s="103" t="s">
        <v>151</v>
      </c>
    </row>
    <row r="6" spans="1:10" ht="36" customHeight="1">
      <c r="A6" s="89" t="s">
        <v>140</v>
      </c>
      <c r="B6" s="89" t="s">
        <v>141</v>
      </c>
      <c r="C6" s="89" t="s">
        <v>152</v>
      </c>
      <c r="D6" s="89" t="s">
        <v>142</v>
      </c>
      <c r="E6" s="88"/>
      <c r="F6" s="88"/>
      <c r="G6" s="88"/>
      <c r="H6" s="88"/>
      <c r="I6" s="88"/>
      <c r="J6" s="88"/>
    </row>
    <row r="7" spans="1:10" ht="15.75" customHeight="1">
      <c r="A7" s="1011" t="s">
        <v>65</v>
      </c>
      <c r="B7" s="649" t="s">
        <v>67</v>
      </c>
      <c r="C7" s="649" t="s">
        <v>66</v>
      </c>
      <c r="D7" s="650">
        <v>2</v>
      </c>
      <c r="E7" s="617"/>
      <c r="F7" s="617"/>
      <c r="G7" s="617" t="s">
        <v>399</v>
      </c>
      <c r="H7" s="617"/>
      <c r="I7" s="617"/>
      <c r="J7" s="617"/>
    </row>
    <row r="8" spans="1:10" ht="36" customHeight="1">
      <c r="A8" s="1012"/>
      <c r="B8" s="616" t="s">
        <v>68</v>
      </c>
      <c r="C8" s="616" t="s">
        <v>66</v>
      </c>
      <c r="D8" s="619">
        <v>2</v>
      </c>
      <c r="E8" s="617"/>
      <c r="F8" s="617"/>
      <c r="G8" s="617" t="s">
        <v>399</v>
      </c>
      <c r="H8" s="617"/>
      <c r="I8" s="617"/>
      <c r="J8" s="617"/>
    </row>
    <row r="9" spans="1:10" ht="87.75" customHeight="1">
      <c r="A9" s="1013"/>
      <c r="B9" s="649" t="s">
        <v>451</v>
      </c>
      <c r="C9" s="616"/>
      <c r="D9" s="619"/>
      <c r="E9" s="617"/>
      <c r="F9" s="617"/>
      <c r="G9" s="617"/>
      <c r="H9" s="617"/>
      <c r="I9" s="617" t="s">
        <v>399</v>
      </c>
      <c r="J9" s="617"/>
    </row>
    <row r="10" spans="1:10" ht="15.75" customHeight="1">
      <c r="A10" s="1009" t="s">
        <v>69</v>
      </c>
      <c r="B10" s="616" t="s">
        <v>70</v>
      </c>
      <c r="C10" s="616" t="s">
        <v>66</v>
      </c>
      <c r="D10" s="619">
        <v>2</v>
      </c>
      <c r="E10" s="617"/>
      <c r="F10" s="617"/>
      <c r="G10" s="617" t="s">
        <v>399</v>
      </c>
      <c r="H10" s="617"/>
      <c r="I10" s="617"/>
      <c r="J10" s="617"/>
    </row>
    <row r="11" spans="1:10" ht="15.75" customHeight="1">
      <c r="A11" s="1009"/>
      <c r="B11" s="649" t="s">
        <v>71</v>
      </c>
      <c r="C11" s="649" t="s">
        <v>72</v>
      </c>
      <c r="D11" s="650">
        <v>2</v>
      </c>
      <c r="E11" s="620"/>
      <c r="F11" s="620"/>
      <c r="G11" s="651"/>
      <c r="H11" s="620"/>
      <c r="I11" s="621" t="s">
        <v>399</v>
      </c>
      <c r="J11" s="620"/>
    </row>
    <row r="12" spans="1:10" ht="15.75" customHeight="1">
      <c r="A12" s="1009"/>
      <c r="B12" s="616" t="s">
        <v>73</v>
      </c>
      <c r="C12" s="616" t="s">
        <v>72</v>
      </c>
      <c r="D12" s="619">
        <v>3</v>
      </c>
      <c r="E12" s="617"/>
      <c r="F12" s="617"/>
      <c r="G12" s="618"/>
      <c r="H12" s="617"/>
      <c r="I12" s="617"/>
      <c r="J12" s="617" t="s">
        <v>153</v>
      </c>
    </row>
    <row r="13" spans="1:10" ht="15.75" customHeight="1">
      <c r="A13" s="1010" t="s">
        <v>74</v>
      </c>
      <c r="B13" s="616" t="s">
        <v>75</v>
      </c>
      <c r="C13" s="616" t="s">
        <v>76</v>
      </c>
      <c r="D13" s="619">
        <v>2</v>
      </c>
      <c r="E13" s="617"/>
      <c r="F13" s="617"/>
      <c r="G13" s="617"/>
      <c r="H13" s="617"/>
      <c r="I13" s="617" t="s">
        <v>399</v>
      </c>
      <c r="J13" s="617"/>
    </row>
    <row r="14" spans="1:10" ht="15.75" customHeight="1">
      <c r="A14" s="1010"/>
      <c r="B14" s="616" t="s">
        <v>77</v>
      </c>
      <c r="C14" s="616" t="s">
        <v>72</v>
      </c>
      <c r="D14" s="619">
        <v>3</v>
      </c>
      <c r="E14" s="617"/>
      <c r="F14" s="617"/>
      <c r="G14" s="617"/>
      <c r="H14" s="617"/>
      <c r="I14" s="617"/>
      <c r="J14" s="617" t="s">
        <v>153</v>
      </c>
    </row>
    <row r="15" spans="1:10" ht="15.75" customHeight="1">
      <c r="A15" s="1010"/>
      <c r="B15" s="616" t="s">
        <v>285</v>
      </c>
      <c r="C15" s="616" t="s">
        <v>66</v>
      </c>
      <c r="D15" s="619">
        <v>2</v>
      </c>
      <c r="E15" s="617"/>
      <c r="F15" s="617" t="s">
        <v>399</v>
      </c>
      <c r="G15" s="617"/>
      <c r="H15" s="617"/>
      <c r="I15" s="617"/>
      <c r="J15" s="617"/>
    </row>
    <row r="16" spans="1:10" ht="15.75" customHeight="1">
      <c r="A16" s="1010"/>
      <c r="B16" s="616" t="s">
        <v>78</v>
      </c>
      <c r="C16" s="616" t="s">
        <v>66</v>
      </c>
      <c r="D16" s="619">
        <v>3</v>
      </c>
      <c r="E16" s="617"/>
      <c r="F16" s="617" t="s">
        <v>399</v>
      </c>
      <c r="G16" s="617"/>
      <c r="H16" s="617"/>
      <c r="I16" s="617"/>
      <c r="J16" s="617"/>
    </row>
    <row r="17" spans="1:10" ht="15.75" customHeight="1">
      <c r="A17" s="1014" t="s">
        <v>79</v>
      </c>
      <c r="B17" s="616" t="s">
        <v>229</v>
      </c>
      <c r="C17" s="616" t="s">
        <v>72</v>
      </c>
      <c r="D17" s="619">
        <v>3</v>
      </c>
      <c r="E17" s="617" t="s">
        <v>153</v>
      </c>
      <c r="F17" s="617"/>
      <c r="G17" s="617"/>
      <c r="H17" s="617"/>
      <c r="I17" s="617"/>
      <c r="J17" s="617"/>
    </row>
    <row r="18" spans="1:10" ht="15.75" customHeight="1">
      <c r="A18" s="1014"/>
      <c r="B18" s="616" t="s">
        <v>80</v>
      </c>
      <c r="C18" s="616" t="s">
        <v>66</v>
      </c>
      <c r="D18" s="619">
        <v>2</v>
      </c>
      <c r="E18" s="617"/>
      <c r="F18" s="617"/>
      <c r="G18" s="617" t="s">
        <v>153</v>
      </c>
      <c r="H18" s="617"/>
      <c r="I18" s="617"/>
      <c r="J18" s="617"/>
    </row>
    <row r="19" spans="1:10" ht="15.75" customHeight="1">
      <c r="A19" s="1014"/>
      <c r="B19" s="616" t="s">
        <v>82</v>
      </c>
      <c r="C19" s="616" t="s">
        <v>66</v>
      </c>
      <c r="D19" s="619">
        <v>2</v>
      </c>
      <c r="E19" s="617"/>
      <c r="F19" s="617"/>
      <c r="G19" s="617" t="s">
        <v>153</v>
      </c>
      <c r="H19" s="617"/>
      <c r="I19" s="617"/>
      <c r="J19" s="617"/>
    </row>
    <row r="20" spans="1:10" ht="15.75" customHeight="1">
      <c r="A20" s="1014"/>
      <c r="B20" s="616" t="s">
        <v>83</v>
      </c>
      <c r="C20" s="616" t="s">
        <v>66</v>
      </c>
      <c r="D20" s="619">
        <v>3</v>
      </c>
      <c r="E20" s="620"/>
      <c r="F20" s="620"/>
      <c r="G20" s="621" t="s">
        <v>399</v>
      </c>
      <c r="H20" s="620"/>
      <c r="I20" s="620"/>
      <c r="J20" s="621" t="s">
        <v>153</v>
      </c>
    </row>
    <row r="21" spans="1:10" ht="15.75" customHeight="1">
      <c r="A21" s="1014"/>
      <c r="B21" s="616" t="s">
        <v>286</v>
      </c>
      <c r="C21" s="616" t="s">
        <v>66</v>
      </c>
      <c r="D21" s="619">
        <v>2</v>
      </c>
      <c r="E21" s="617"/>
      <c r="F21" s="617"/>
      <c r="G21" s="617"/>
      <c r="H21" s="617"/>
      <c r="I21" s="617" t="s">
        <v>399</v>
      </c>
      <c r="J21" s="617"/>
    </row>
    <row r="22" spans="1:10" ht="15.75" customHeight="1">
      <c r="A22" s="1014" t="s">
        <v>85</v>
      </c>
      <c r="B22" s="616" t="s">
        <v>287</v>
      </c>
      <c r="C22" s="616" t="s">
        <v>72</v>
      </c>
      <c r="D22" s="619">
        <v>1</v>
      </c>
      <c r="E22" s="617"/>
      <c r="F22" s="617" t="s">
        <v>399</v>
      </c>
      <c r="G22" s="617"/>
      <c r="H22" s="617"/>
      <c r="I22" s="617"/>
      <c r="J22" s="617"/>
    </row>
    <row r="23" spans="1:10" ht="15.75" customHeight="1">
      <c r="A23" s="1014"/>
      <c r="B23" s="616" t="s">
        <v>226</v>
      </c>
      <c r="C23" s="616" t="s">
        <v>72</v>
      </c>
      <c r="D23" s="619">
        <v>2</v>
      </c>
      <c r="E23" s="617"/>
      <c r="F23" s="617"/>
      <c r="G23" s="617"/>
      <c r="H23" s="617"/>
      <c r="I23" s="617"/>
      <c r="J23" s="617" t="s">
        <v>399</v>
      </c>
    </row>
    <row r="24" spans="1:10" ht="15.75" customHeight="1">
      <c r="A24" s="1014"/>
      <c r="B24" s="616" t="s">
        <v>86</v>
      </c>
      <c r="C24" s="616" t="s">
        <v>66</v>
      </c>
      <c r="D24" s="619">
        <v>2</v>
      </c>
      <c r="E24" s="617"/>
      <c r="F24" s="617"/>
      <c r="G24" s="617" t="s">
        <v>153</v>
      </c>
      <c r="H24" s="617"/>
      <c r="I24" s="617"/>
      <c r="J24" s="617"/>
    </row>
    <row r="25" spans="1:10" ht="15.75" customHeight="1">
      <c r="A25" s="1014"/>
      <c r="B25" s="616" t="s">
        <v>81</v>
      </c>
      <c r="C25" s="616" t="s">
        <v>66</v>
      </c>
      <c r="D25" s="619">
        <v>2</v>
      </c>
      <c r="E25" s="617" t="s">
        <v>153</v>
      </c>
      <c r="F25" s="617"/>
      <c r="G25" s="617"/>
      <c r="H25" s="617"/>
      <c r="I25" s="617"/>
      <c r="J25" s="617"/>
    </row>
    <row r="26" spans="1:10" ht="15.75" customHeight="1">
      <c r="A26" s="1014"/>
      <c r="B26" s="616" t="s">
        <v>222</v>
      </c>
      <c r="C26" s="616" t="s">
        <v>72</v>
      </c>
      <c r="D26" s="619">
        <v>4</v>
      </c>
      <c r="E26" s="617" t="s">
        <v>399</v>
      </c>
      <c r="F26" s="617"/>
      <c r="G26" s="617"/>
      <c r="H26" s="617"/>
      <c r="I26" s="617"/>
      <c r="J26" s="617"/>
    </row>
    <row r="27" spans="1:10" ht="15.75" customHeight="1">
      <c r="A27" s="1014"/>
      <c r="B27" s="649" t="s">
        <v>288</v>
      </c>
      <c r="C27" s="649" t="s">
        <v>72</v>
      </c>
      <c r="D27" s="650">
        <v>2</v>
      </c>
      <c r="E27" s="617"/>
      <c r="F27" s="617" t="s">
        <v>399</v>
      </c>
      <c r="G27" s="617"/>
      <c r="H27" s="617"/>
      <c r="I27" s="617"/>
      <c r="J27" s="617"/>
    </row>
    <row r="28" spans="1:10" ht="15.75" customHeight="1">
      <c r="A28" s="1014"/>
      <c r="B28" s="616" t="s">
        <v>88</v>
      </c>
      <c r="C28" s="616" t="s">
        <v>66</v>
      </c>
      <c r="D28" s="619">
        <v>2</v>
      </c>
      <c r="E28" s="617"/>
      <c r="F28" s="617"/>
      <c r="G28" s="617"/>
      <c r="H28" s="617"/>
      <c r="I28" s="617" t="s">
        <v>399</v>
      </c>
      <c r="J28" s="617"/>
    </row>
    <row r="29" spans="1:10" ht="15.75" customHeight="1">
      <c r="A29" s="1014" t="s">
        <v>90</v>
      </c>
      <c r="B29" s="616" t="s">
        <v>91</v>
      </c>
      <c r="C29" s="616" t="s">
        <v>66</v>
      </c>
      <c r="D29" s="619">
        <v>3</v>
      </c>
      <c r="E29" s="617"/>
      <c r="F29" s="617"/>
      <c r="G29" s="617"/>
      <c r="H29" s="617"/>
      <c r="I29" s="617" t="s">
        <v>399</v>
      </c>
      <c r="J29" s="617"/>
    </row>
    <row r="30" spans="1:10" ht="15.75" customHeight="1">
      <c r="A30" s="1014"/>
      <c r="B30" s="616" t="s">
        <v>89</v>
      </c>
      <c r="C30" s="616" t="s">
        <v>66</v>
      </c>
      <c r="D30" s="619">
        <v>2</v>
      </c>
      <c r="E30" s="620"/>
      <c r="F30" s="620"/>
      <c r="G30" s="621" t="s">
        <v>153</v>
      </c>
      <c r="H30" s="620"/>
      <c r="I30" s="620"/>
      <c r="J30" s="620"/>
    </row>
    <row r="31" spans="1:10" ht="15.75" customHeight="1">
      <c r="A31" s="1014"/>
      <c r="B31" s="616" t="s">
        <v>87</v>
      </c>
      <c r="C31" s="616" t="s">
        <v>72</v>
      </c>
      <c r="D31" s="619">
        <v>3</v>
      </c>
      <c r="E31" s="617"/>
      <c r="F31" s="617" t="s">
        <v>153</v>
      </c>
      <c r="G31" s="617"/>
      <c r="H31" s="617"/>
      <c r="I31" s="617"/>
      <c r="J31" s="617"/>
    </row>
    <row r="32" spans="1:10" ht="15.75" customHeight="1">
      <c r="A32" s="1014"/>
      <c r="B32" s="616" t="s">
        <v>223</v>
      </c>
      <c r="C32" s="616" t="s">
        <v>72</v>
      </c>
      <c r="D32" s="619">
        <v>3</v>
      </c>
      <c r="E32" s="617" t="s">
        <v>153</v>
      </c>
      <c r="F32" s="617"/>
      <c r="G32" s="617"/>
      <c r="H32" s="617"/>
      <c r="I32" s="617"/>
      <c r="J32" s="617"/>
    </row>
    <row r="33" spans="1:10" ht="15.75" customHeight="1">
      <c r="A33" s="1014"/>
      <c r="B33" s="616" t="s">
        <v>92</v>
      </c>
      <c r="C33" s="616" t="s">
        <v>72</v>
      </c>
      <c r="D33" s="619">
        <v>2</v>
      </c>
      <c r="E33" s="622" t="s">
        <v>153</v>
      </c>
      <c r="F33" s="620"/>
      <c r="G33" s="620"/>
      <c r="H33" s="621" t="s">
        <v>153</v>
      </c>
      <c r="I33" s="620"/>
      <c r="J33" s="620"/>
    </row>
    <row r="34" spans="1:10" ht="15.75" customHeight="1">
      <c r="A34" s="1014"/>
      <c r="B34" s="616" t="s">
        <v>93</v>
      </c>
      <c r="C34" s="616" t="s">
        <v>72</v>
      </c>
      <c r="D34" s="619">
        <v>3</v>
      </c>
      <c r="E34" s="617"/>
      <c r="F34" s="617" t="s">
        <v>399</v>
      </c>
      <c r="G34" s="617"/>
      <c r="H34" s="617"/>
      <c r="I34" s="617"/>
      <c r="J34" s="617"/>
    </row>
    <row r="35" spans="1:10" ht="15.75" customHeight="1">
      <c r="A35" s="1014" t="s">
        <v>143</v>
      </c>
      <c r="B35" s="616" t="s">
        <v>96</v>
      </c>
      <c r="C35" s="616" t="s">
        <v>72</v>
      </c>
      <c r="D35" s="619">
        <v>3</v>
      </c>
      <c r="E35" s="617"/>
      <c r="F35" s="617" t="s">
        <v>153</v>
      </c>
      <c r="G35" s="617"/>
      <c r="H35" s="617"/>
      <c r="I35" s="617"/>
      <c r="J35" s="617"/>
    </row>
    <row r="36" spans="1:10" ht="15.75" customHeight="1">
      <c r="A36" s="1014"/>
      <c r="B36" s="616" t="s">
        <v>97</v>
      </c>
      <c r="C36" s="616" t="s">
        <v>72</v>
      </c>
      <c r="D36" s="619">
        <v>3</v>
      </c>
      <c r="E36" s="617" t="s">
        <v>153</v>
      </c>
      <c r="F36" s="617"/>
      <c r="G36" s="617"/>
      <c r="H36" s="617"/>
      <c r="I36" s="617"/>
      <c r="J36" s="617"/>
    </row>
    <row r="37" spans="1:10" ht="15.75" customHeight="1">
      <c r="A37" s="1014"/>
      <c r="B37" s="616" t="s">
        <v>290</v>
      </c>
      <c r="C37" s="616" t="s">
        <v>72</v>
      </c>
      <c r="D37" s="619">
        <v>2</v>
      </c>
      <c r="E37" s="617"/>
      <c r="F37" s="621" t="s">
        <v>399</v>
      </c>
      <c r="G37" s="620"/>
      <c r="H37" s="621"/>
      <c r="I37" s="620"/>
      <c r="J37" s="620"/>
    </row>
    <row r="38" spans="1:10" ht="15.75" customHeight="1">
      <c r="A38" s="1014"/>
      <c r="B38" s="616" t="s">
        <v>98</v>
      </c>
      <c r="C38" s="616" t="s">
        <v>66</v>
      </c>
      <c r="D38" s="619">
        <v>3</v>
      </c>
      <c r="E38" s="617"/>
      <c r="F38" s="617"/>
      <c r="G38" s="617"/>
      <c r="H38" s="617"/>
      <c r="I38" s="617" t="s">
        <v>399</v>
      </c>
      <c r="J38" s="617"/>
    </row>
    <row r="39" spans="1:10" ht="15.75" customHeight="1">
      <c r="A39" s="1014"/>
      <c r="B39" s="616" t="s">
        <v>235</v>
      </c>
      <c r="C39" s="616" t="s">
        <v>66</v>
      </c>
      <c r="D39" s="619">
        <v>2</v>
      </c>
      <c r="E39" s="617"/>
      <c r="F39" s="617"/>
      <c r="G39" s="617"/>
      <c r="H39" s="617"/>
      <c r="I39" s="617" t="s">
        <v>153</v>
      </c>
      <c r="J39" s="617"/>
    </row>
    <row r="40" spans="1:10" ht="15.75" customHeight="1">
      <c r="A40" s="1014"/>
      <c r="B40" s="616" t="s">
        <v>99</v>
      </c>
      <c r="C40" s="616" t="s">
        <v>72</v>
      </c>
      <c r="D40" s="619">
        <v>2</v>
      </c>
      <c r="E40" s="622"/>
      <c r="F40" s="621" t="s">
        <v>399</v>
      </c>
      <c r="G40" s="620"/>
      <c r="H40" s="620"/>
      <c r="I40" s="620"/>
      <c r="J40" s="620"/>
    </row>
    <row r="41" spans="1:10" ht="15.75" customHeight="1">
      <c r="A41" s="1014" t="s">
        <v>100</v>
      </c>
      <c r="B41" s="616" t="s">
        <v>291</v>
      </c>
      <c r="C41" s="616" t="s">
        <v>72</v>
      </c>
      <c r="D41" s="619">
        <v>2</v>
      </c>
      <c r="E41" s="617"/>
      <c r="F41" s="617"/>
      <c r="G41" s="617"/>
      <c r="H41" s="617"/>
      <c r="I41" s="617" t="s">
        <v>399</v>
      </c>
      <c r="J41" s="617"/>
    </row>
    <row r="42" spans="1:10" ht="15.75" customHeight="1">
      <c r="A42" s="1014"/>
      <c r="B42" s="616" t="s">
        <v>292</v>
      </c>
      <c r="C42" s="616" t="s">
        <v>72</v>
      </c>
      <c r="D42" s="619">
        <v>2</v>
      </c>
      <c r="E42" s="617"/>
      <c r="F42" s="617" t="s">
        <v>399</v>
      </c>
      <c r="G42" s="617"/>
      <c r="H42" s="617"/>
      <c r="I42" s="617"/>
      <c r="J42" s="617"/>
    </row>
    <row r="43" spans="1:10" ht="15.75" customHeight="1">
      <c r="A43" s="1014"/>
      <c r="B43" s="616" t="s">
        <v>293</v>
      </c>
      <c r="C43" s="616" t="s">
        <v>72</v>
      </c>
      <c r="D43" s="619">
        <v>3</v>
      </c>
      <c r="E43" s="617" t="s">
        <v>399</v>
      </c>
      <c r="F43" s="617"/>
      <c r="G43" s="617"/>
      <c r="H43" s="617"/>
      <c r="I43" s="617"/>
      <c r="J43" s="617"/>
    </row>
    <row r="44" spans="1:10" ht="15.75" customHeight="1">
      <c r="A44" s="1014"/>
      <c r="B44" s="616" t="s">
        <v>94</v>
      </c>
      <c r="C44" s="616" t="s">
        <v>72</v>
      </c>
      <c r="D44" s="619">
        <v>3</v>
      </c>
      <c r="E44" s="617" t="s">
        <v>153</v>
      </c>
      <c r="F44" s="617"/>
      <c r="G44" s="617"/>
      <c r="H44" s="617"/>
      <c r="I44" s="617"/>
      <c r="J44" s="617"/>
    </row>
    <row r="45" spans="1:10" ht="15.75" customHeight="1">
      <c r="A45" s="1014"/>
      <c r="B45" s="616" t="s">
        <v>95</v>
      </c>
      <c r="C45" s="616" t="s">
        <v>72</v>
      </c>
      <c r="D45" s="619">
        <v>3</v>
      </c>
      <c r="E45" s="617" t="s">
        <v>153</v>
      </c>
      <c r="F45" s="617"/>
      <c r="G45" s="617"/>
      <c r="H45" s="617"/>
      <c r="I45" s="617"/>
      <c r="J45" s="617"/>
    </row>
    <row r="46" spans="1:10" ht="15.75" customHeight="1">
      <c r="A46" s="1014"/>
      <c r="B46" s="616" t="s">
        <v>236</v>
      </c>
      <c r="C46" s="616" t="s">
        <v>66</v>
      </c>
      <c r="D46" s="619">
        <v>3</v>
      </c>
      <c r="E46" s="617"/>
      <c r="F46" s="617"/>
      <c r="G46" s="617"/>
      <c r="H46" s="617"/>
      <c r="I46" s="617" t="s">
        <v>153</v>
      </c>
      <c r="J46" s="617"/>
    </row>
    <row r="47" spans="1:10" ht="15.75" customHeight="1">
      <c r="A47" s="652" t="s">
        <v>103</v>
      </c>
      <c r="B47" s="616" t="s">
        <v>294</v>
      </c>
      <c r="C47" s="616" t="s">
        <v>101</v>
      </c>
      <c r="D47" s="619">
        <v>15</v>
      </c>
      <c r="E47" s="617" t="s">
        <v>153</v>
      </c>
      <c r="F47" s="617" t="s">
        <v>153</v>
      </c>
      <c r="G47" s="617"/>
      <c r="H47" s="617"/>
      <c r="I47" s="617"/>
      <c r="J47" s="617"/>
    </row>
    <row r="48" spans="1:10" ht="15.75" customHeight="1">
      <c r="A48" s="75"/>
      <c r="B48" s="75"/>
      <c r="C48" s="75"/>
      <c r="D48" s="75"/>
      <c r="E48" s="75"/>
      <c r="F48" s="75"/>
      <c r="G48" s="75"/>
      <c r="H48" s="75"/>
      <c r="I48" s="75"/>
      <c r="J48" s="75"/>
    </row>
    <row r="49" spans="1:10" ht="15.75" customHeight="1">
      <c r="A49" s="75"/>
      <c r="B49" s="75"/>
      <c r="C49" s="75"/>
      <c r="D49" s="75"/>
      <c r="E49" s="75"/>
      <c r="F49" s="75"/>
      <c r="G49" s="75"/>
      <c r="H49" s="75"/>
      <c r="I49" s="75"/>
      <c r="J49" s="75"/>
    </row>
    <row r="50" spans="1:10" ht="15.75" customHeight="1">
      <c r="A50" s="75"/>
      <c r="B50" s="75"/>
      <c r="C50" s="75"/>
      <c r="D50" s="75"/>
      <c r="E50" s="75"/>
      <c r="F50" s="75"/>
      <c r="G50" s="75"/>
      <c r="H50" s="75"/>
      <c r="I50" s="75"/>
      <c r="J50" s="75"/>
    </row>
    <row r="51" spans="1:10" ht="15.75" customHeight="1">
      <c r="A51" s="75"/>
      <c r="B51" s="75"/>
      <c r="C51" s="75"/>
      <c r="D51" s="75"/>
      <c r="E51" s="75"/>
      <c r="F51" s="75"/>
      <c r="G51" s="75"/>
      <c r="H51" s="75"/>
      <c r="I51" s="75"/>
      <c r="J51" s="75"/>
    </row>
    <row r="52" spans="1:10" ht="15.75" customHeight="1">
      <c r="A52" s="75"/>
      <c r="B52" s="75"/>
      <c r="C52" s="75"/>
      <c r="D52" s="75"/>
      <c r="E52" s="75"/>
      <c r="F52" s="75"/>
      <c r="G52" s="75"/>
      <c r="H52" s="75"/>
      <c r="I52" s="75"/>
      <c r="J52" s="75"/>
    </row>
    <row r="53" spans="1:10" ht="15.75" customHeight="1">
      <c r="A53" s="75"/>
      <c r="B53" s="75"/>
      <c r="C53" s="75"/>
      <c r="D53" s="75"/>
      <c r="E53" s="75"/>
      <c r="F53" s="75"/>
      <c r="G53" s="75"/>
      <c r="H53" s="75"/>
      <c r="I53" s="75"/>
      <c r="J53" s="75"/>
    </row>
    <row r="54" spans="1:10" ht="15.75" customHeight="1">
      <c r="A54" s="75"/>
      <c r="B54" s="75"/>
      <c r="C54" s="75"/>
      <c r="D54" s="75"/>
      <c r="E54" s="75"/>
      <c r="F54" s="75"/>
      <c r="G54" s="75"/>
      <c r="H54" s="75"/>
      <c r="I54" s="75"/>
      <c r="J54" s="75"/>
    </row>
    <row r="55" spans="1:10" ht="15.75" customHeight="1">
      <c r="A55" s="75"/>
      <c r="B55" s="75"/>
      <c r="C55" s="75"/>
      <c r="D55" s="75"/>
      <c r="E55" s="75"/>
      <c r="F55" s="75"/>
      <c r="G55" s="75"/>
      <c r="H55" s="75"/>
      <c r="I55" s="75"/>
      <c r="J55" s="75"/>
    </row>
    <row r="56" spans="1:10" ht="15.75" customHeight="1">
      <c r="A56" s="75"/>
      <c r="B56" s="75"/>
      <c r="C56" s="75"/>
      <c r="D56" s="75"/>
      <c r="E56" s="75"/>
      <c r="F56" s="75"/>
      <c r="G56" s="75"/>
      <c r="H56" s="75"/>
      <c r="I56" s="75"/>
      <c r="J56" s="75"/>
    </row>
    <row r="57" spans="1:10" ht="15.75" customHeight="1">
      <c r="A57" s="75"/>
      <c r="B57" s="75"/>
      <c r="C57" s="75"/>
      <c r="D57" s="75"/>
      <c r="E57" s="75"/>
      <c r="F57" s="75"/>
      <c r="G57" s="75"/>
      <c r="H57" s="75"/>
      <c r="I57" s="75"/>
      <c r="J57" s="75"/>
    </row>
    <row r="58" spans="1:10" ht="15.75" customHeight="1">
      <c r="A58" s="75"/>
      <c r="B58" s="75"/>
      <c r="C58" s="75"/>
      <c r="D58" s="75"/>
      <c r="E58" s="75"/>
      <c r="F58" s="75"/>
      <c r="G58" s="75"/>
      <c r="H58" s="75"/>
      <c r="I58" s="75"/>
      <c r="J58" s="75"/>
    </row>
    <row r="59" spans="1:10" ht="15.75" customHeight="1">
      <c r="A59" s="75"/>
      <c r="B59" s="75"/>
      <c r="C59" s="75"/>
      <c r="D59" s="75"/>
      <c r="E59" s="75"/>
      <c r="F59" s="75"/>
      <c r="G59" s="75"/>
      <c r="H59" s="75"/>
      <c r="I59" s="75"/>
      <c r="J59" s="75"/>
    </row>
    <row r="60" spans="1:10" ht="15.75" customHeight="1">
      <c r="A60" s="75"/>
      <c r="B60" s="75"/>
      <c r="C60" s="75"/>
      <c r="D60" s="75"/>
      <c r="E60" s="75"/>
      <c r="F60" s="75"/>
      <c r="G60" s="75"/>
      <c r="H60" s="75"/>
      <c r="I60" s="75"/>
      <c r="J60" s="75"/>
    </row>
    <row r="61" spans="1:10" ht="15.75" customHeight="1">
      <c r="A61" s="75"/>
      <c r="B61" s="75"/>
      <c r="C61" s="75"/>
      <c r="D61" s="75"/>
      <c r="E61" s="75"/>
      <c r="F61" s="75"/>
      <c r="G61" s="75"/>
      <c r="H61" s="75"/>
      <c r="I61" s="75"/>
      <c r="J61" s="75"/>
    </row>
    <row r="62" spans="1:10" ht="15.75" customHeight="1">
      <c r="A62" s="75"/>
      <c r="B62" s="75"/>
      <c r="C62" s="75"/>
      <c r="D62" s="75"/>
      <c r="E62" s="75"/>
      <c r="F62" s="75"/>
      <c r="G62" s="75"/>
      <c r="H62" s="75"/>
      <c r="I62" s="75"/>
      <c r="J62" s="75"/>
    </row>
    <row r="63" spans="1:10" ht="15.75" customHeight="1">
      <c r="A63" s="75"/>
      <c r="B63" s="75"/>
      <c r="C63" s="75"/>
      <c r="D63" s="75"/>
      <c r="E63" s="75"/>
      <c r="F63" s="75"/>
      <c r="G63" s="75"/>
      <c r="H63" s="75"/>
      <c r="I63" s="75"/>
      <c r="J63" s="75"/>
    </row>
    <row r="64" spans="1:10" ht="15.75" customHeight="1">
      <c r="A64" s="75"/>
      <c r="B64" s="75"/>
      <c r="C64" s="75"/>
      <c r="D64" s="75"/>
      <c r="E64" s="75"/>
      <c r="F64" s="75"/>
      <c r="G64" s="75"/>
      <c r="H64" s="75"/>
      <c r="I64" s="75"/>
      <c r="J64" s="75"/>
    </row>
    <row r="65" spans="1:10" ht="15.75" customHeight="1">
      <c r="A65" s="75"/>
      <c r="B65" s="75"/>
      <c r="C65" s="75"/>
      <c r="D65" s="75"/>
      <c r="E65" s="75"/>
      <c r="F65" s="75"/>
      <c r="G65" s="75"/>
      <c r="H65" s="75"/>
      <c r="I65" s="75"/>
      <c r="J65" s="75"/>
    </row>
    <row r="66" spans="1:10" ht="15.75" customHeight="1">
      <c r="A66" s="75"/>
      <c r="B66" s="75"/>
      <c r="C66" s="75"/>
      <c r="D66" s="75"/>
      <c r="E66" s="75"/>
      <c r="F66" s="75"/>
      <c r="G66" s="75"/>
      <c r="H66" s="75"/>
      <c r="I66" s="75"/>
      <c r="J66" s="75"/>
    </row>
    <row r="67" spans="1:10" ht="15.75" customHeight="1">
      <c r="A67" s="75"/>
      <c r="B67" s="75"/>
      <c r="C67" s="75"/>
      <c r="D67" s="75"/>
      <c r="E67" s="75"/>
      <c r="F67" s="75"/>
      <c r="G67" s="75"/>
      <c r="H67" s="75"/>
      <c r="I67" s="75"/>
      <c r="J67" s="75"/>
    </row>
    <row r="68" spans="1:10" ht="15.75" customHeight="1">
      <c r="A68" s="75"/>
      <c r="B68" s="75"/>
      <c r="C68" s="75"/>
      <c r="D68" s="75"/>
      <c r="E68" s="75"/>
      <c r="F68" s="75"/>
      <c r="G68" s="75"/>
      <c r="H68" s="75"/>
      <c r="I68" s="75"/>
      <c r="J68" s="75"/>
    </row>
    <row r="69" spans="1:10" ht="15.75" customHeight="1">
      <c r="A69" s="75"/>
      <c r="B69" s="75"/>
      <c r="C69" s="75"/>
      <c r="D69" s="75"/>
      <c r="E69" s="75"/>
      <c r="F69" s="75"/>
      <c r="G69" s="75"/>
      <c r="H69" s="75"/>
      <c r="I69" s="75"/>
      <c r="J69" s="75"/>
    </row>
    <row r="70" spans="1:10" ht="15.75" customHeight="1">
      <c r="A70" s="75"/>
      <c r="B70" s="75"/>
      <c r="C70" s="75"/>
      <c r="D70" s="75"/>
      <c r="E70" s="75"/>
      <c r="F70" s="75"/>
      <c r="G70" s="75"/>
      <c r="H70" s="75"/>
      <c r="I70" s="75"/>
      <c r="J70" s="75"/>
    </row>
    <row r="71" spans="1:10" ht="15.75" customHeight="1">
      <c r="A71" s="75"/>
      <c r="B71" s="75"/>
      <c r="C71" s="75"/>
      <c r="D71" s="75"/>
      <c r="E71" s="75"/>
      <c r="F71" s="75"/>
      <c r="G71" s="75"/>
      <c r="H71" s="75"/>
      <c r="I71" s="75"/>
      <c r="J71" s="75"/>
    </row>
    <row r="72" spans="1:10" ht="15.75" customHeight="1">
      <c r="A72" s="75"/>
      <c r="B72" s="75"/>
      <c r="C72" s="75"/>
      <c r="D72" s="75"/>
      <c r="E72" s="75"/>
      <c r="F72" s="75"/>
      <c r="G72" s="75"/>
      <c r="H72" s="75"/>
      <c r="I72" s="75"/>
      <c r="J72" s="75"/>
    </row>
    <row r="73" spans="1:10" ht="15.75" customHeight="1">
      <c r="A73" s="75"/>
      <c r="B73" s="75"/>
      <c r="C73" s="75"/>
      <c r="D73" s="75"/>
      <c r="E73" s="75"/>
      <c r="F73" s="75"/>
      <c r="G73" s="75"/>
      <c r="H73" s="75"/>
      <c r="I73" s="75"/>
      <c r="J73" s="75"/>
    </row>
    <row r="74" spans="1:10" ht="15.75" customHeight="1">
      <c r="A74" s="75"/>
      <c r="B74" s="75"/>
      <c r="C74" s="75"/>
      <c r="D74" s="75"/>
      <c r="E74" s="75"/>
      <c r="F74" s="75"/>
      <c r="G74" s="75"/>
      <c r="H74" s="75"/>
      <c r="I74" s="75"/>
      <c r="J74" s="75"/>
    </row>
    <row r="75" spans="1:10" ht="15.75" customHeight="1">
      <c r="A75" s="75"/>
      <c r="B75" s="75"/>
      <c r="C75" s="75"/>
      <c r="D75" s="75"/>
      <c r="E75" s="75"/>
      <c r="F75" s="75"/>
      <c r="G75" s="75"/>
      <c r="H75" s="75"/>
      <c r="I75" s="75"/>
      <c r="J75" s="75"/>
    </row>
    <row r="76" spans="1:10" ht="15.75" customHeight="1">
      <c r="A76" s="75"/>
      <c r="B76" s="75"/>
      <c r="C76" s="75"/>
      <c r="D76" s="75"/>
      <c r="E76" s="75"/>
      <c r="F76" s="75"/>
      <c r="G76" s="75"/>
      <c r="H76" s="75"/>
      <c r="I76" s="75"/>
      <c r="J76" s="75"/>
    </row>
    <row r="77" spans="1:10" ht="15.75" customHeight="1">
      <c r="A77" s="75"/>
      <c r="B77" s="75"/>
      <c r="C77" s="75"/>
      <c r="D77" s="75"/>
      <c r="E77" s="75"/>
      <c r="F77" s="75"/>
      <c r="G77" s="75"/>
      <c r="H77" s="75"/>
      <c r="I77" s="75"/>
      <c r="J77" s="75"/>
    </row>
    <row r="78" spans="1:10" ht="15.75" customHeight="1">
      <c r="A78" s="75"/>
      <c r="B78" s="75"/>
      <c r="C78" s="75"/>
      <c r="D78" s="75"/>
      <c r="E78" s="75"/>
      <c r="F78" s="75"/>
      <c r="G78" s="75"/>
      <c r="H78" s="75"/>
      <c r="I78" s="75"/>
      <c r="J78" s="75"/>
    </row>
    <row r="79" spans="1:10" ht="15.75" customHeight="1">
      <c r="A79" s="75"/>
      <c r="B79" s="75"/>
      <c r="C79" s="75"/>
      <c r="D79" s="75"/>
      <c r="E79" s="75"/>
      <c r="F79" s="75"/>
      <c r="G79" s="75"/>
      <c r="H79" s="75"/>
      <c r="I79" s="75"/>
      <c r="J79" s="75"/>
    </row>
    <row r="80" spans="1:10" ht="15.75" customHeight="1">
      <c r="A80" s="75"/>
      <c r="B80" s="75"/>
      <c r="C80" s="75"/>
      <c r="D80" s="75"/>
      <c r="E80" s="75"/>
      <c r="F80" s="75"/>
      <c r="G80" s="75"/>
      <c r="H80" s="75"/>
      <c r="I80" s="75"/>
      <c r="J80" s="75"/>
    </row>
    <row r="81" spans="1:10" ht="15.75" customHeight="1">
      <c r="A81" s="75"/>
      <c r="B81" s="75"/>
      <c r="C81" s="75"/>
      <c r="D81" s="75"/>
      <c r="E81" s="75"/>
      <c r="F81" s="75"/>
      <c r="G81" s="75"/>
      <c r="H81" s="75"/>
      <c r="I81" s="75"/>
      <c r="J81" s="75"/>
    </row>
    <row r="82" spans="1:10" ht="15.75" customHeight="1">
      <c r="A82" s="75"/>
      <c r="B82" s="75"/>
      <c r="C82" s="75"/>
      <c r="D82" s="75"/>
      <c r="E82" s="75"/>
      <c r="F82" s="75"/>
      <c r="G82" s="75"/>
      <c r="H82" s="75"/>
      <c r="I82" s="75"/>
      <c r="J82" s="75"/>
    </row>
    <row r="83" spans="1:10" ht="15.75" customHeight="1">
      <c r="A83" s="75"/>
      <c r="B83" s="75"/>
      <c r="C83" s="75"/>
      <c r="D83" s="75"/>
      <c r="E83" s="75"/>
      <c r="F83" s="75"/>
      <c r="G83" s="75"/>
      <c r="H83" s="75"/>
      <c r="I83" s="75"/>
      <c r="J83" s="75"/>
    </row>
    <row r="84" spans="1:10" ht="15.75" customHeight="1">
      <c r="A84" s="75"/>
      <c r="B84" s="75"/>
      <c r="C84" s="75"/>
      <c r="D84" s="75"/>
      <c r="E84" s="75"/>
      <c r="F84" s="75"/>
      <c r="G84" s="75"/>
      <c r="H84" s="75"/>
      <c r="I84" s="75"/>
      <c r="J84" s="75"/>
    </row>
    <row r="85" spans="1:10" ht="15.75" customHeight="1">
      <c r="A85" s="75"/>
      <c r="B85" s="75"/>
      <c r="C85" s="75"/>
      <c r="D85" s="75"/>
      <c r="E85" s="75"/>
      <c r="F85" s="75"/>
      <c r="G85" s="75"/>
      <c r="H85" s="75"/>
      <c r="I85" s="75"/>
      <c r="J85" s="75"/>
    </row>
    <row r="86" spans="1:10" ht="15.75" customHeight="1">
      <c r="A86" s="75"/>
      <c r="B86" s="75"/>
      <c r="C86" s="75"/>
      <c r="D86" s="75"/>
      <c r="E86" s="75"/>
      <c r="F86" s="75"/>
      <c r="G86" s="75"/>
      <c r="H86" s="75"/>
      <c r="I86" s="75"/>
      <c r="J86" s="75"/>
    </row>
    <row r="87" spans="1:10" ht="15.75" customHeight="1">
      <c r="A87" s="75"/>
      <c r="B87" s="75"/>
      <c r="C87" s="75"/>
      <c r="D87" s="75"/>
      <c r="E87" s="75"/>
      <c r="F87" s="75"/>
      <c r="G87" s="75"/>
      <c r="H87" s="75"/>
      <c r="I87" s="75"/>
      <c r="J87" s="75"/>
    </row>
    <row r="88" spans="1:10" ht="15.75" customHeight="1">
      <c r="A88" s="75"/>
      <c r="B88" s="75"/>
      <c r="C88" s="75"/>
      <c r="D88" s="75"/>
      <c r="E88" s="75"/>
      <c r="F88" s="75"/>
      <c r="G88" s="75"/>
      <c r="H88" s="75"/>
      <c r="I88" s="75"/>
      <c r="J88" s="75"/>
    </row>
    <row r="89" spans="1:10" ht="15.75" customHeight="1">
      <c r="A89" s="75"/>
      <c r="B89" s="75"/>
      <c r="C89" s="75"/>
      <c r="D89" s="75"/>
      <c r="E89" s="75"/>
      <c r="F89" s="75"/>
      <c r="G89" s="75"/>
      <c r="H89" s="75"/>
      <c r="I89" s="75"/>
      <c r="J89" s="75"/>
    </row>
    <row r="90" spans="1:10" ht="15.75" customHeight="1">
      <c r="A90" s="75"/>
      <c r="B90" s="75"/>
      <c r="C90" s="75"/>
      <c r="D90" s="75"/>
      <c r="E90" s="75"/>
      <c r="F90" s="75"/>
      <c r="G90" s="75"/>
      <c r="H90" s="75"/>
      <c r="I90" s="75"/>
      <c r="J90" s="75"/>
    </row>
    <row r="91" spans="1:10" ht="15.75" customHeight="1">
      <c r="A91" s="75"/>
      <c r="B91" s="75"/>
      <c r="C91" s="75"/>
      <c r="D91" s="75"/>
      <c r="E91" s="75"/>
      <c r="F91" s="75"/>
      <c r="G91" s="75"/>
      <c r="H91" s="75"/>
      <c r="I91" s="75"/>
      <c r="J91" s="75"/>
    </row>
    <row r="92" spans="1:10" ht="15.75" customHeight="1">
      <c r="A92" s="75"/>
      <c r="B92" s="75"/>
      <c r="C92" s="75"/>
      <c r="D92" s="75"/>
      <c r="E92" s="75"/>
      <c r="F92" s="75"/>
      <c r="G92" s="75"/>
      <c r="H92" s="75"/>
      <c r="I92" s="75"/>
      <c r="J92" s="75"/>
    </row>
    <row r="93" spans="1:10" ht="15.75" customHeight="1">
      <c r="A93" s="75"/>
      <c r="B93" s="75"/>
      <c r="C93" s="75"/>
      <c r="D93" s="75"/>
      <c r="E93" s="75"/>
      <c r="F93" s="75"/>
      <c r="G93" s="75"/>
      <c r="H93" s="75"/>
      <c r="I93" s="75"/>
      <c r="J93" s="75"/>
    </row>
    <row r="94" spans="1:10" ht="15.75" customHeight="1">
      <c r="A94" s="75"/>
      <c r="B94" s="75"/>
      <c r="C94" s="75"/>
      <c r="D94" s="75"/>
      <c r="E94" s="75"/>
      <c r="F94" s="75"/>
      <c r="G94" s="75"/>
      <c r="H94" s="75"/>
      <c r="I94" s="75"/>
      <c r="J94" s="75"/>
    </row>
    <row r="95" spans="1:10" ht="15.75" customHeight="1">
      <c r="A95" s="75"/>
      <c r="B95" s="75"/>
      <c r="C95" s="75"/>
      <c r="D95" s="75"/>
      <c r="E95" s="75"/>
      <c r="F95" s="75"/>
      <c r="G95" s="75"/>
      <c r="H95" s="75"/>
      <c r="I95" s="75"/>
      <c r="J95" s="75"/>
    </row>
    <row r="96" spans="1:10" ht="15.75" customHeight="1">
      <c r="A96" s="75"/>
      <c r="B96" s="75"/>
      <c r="C96" s="75"/>
      <c r="D96" s="75"/>
      <c r="E96" s="75"/>
      <c r="F96" s="75"/>
      <c r="G96" s="75"/>
      <c r="H96" s="75"/>
      <c r="I96" s="75"/>
      <c r="J96" s="75"/>
    </row>
    <row r="97" spans="1:10" ht="15.75" customHeight="1">
      <c r="A97" s="75"/>
      <c r="B97" s="75"/>
      <c r="C97" s="75"/>
      <c r="D97" s="75"/>
      <c r="E97" s="75"/>
      <c r="F97" s="75"/>
      <c r="G97" s="75"/>
      <c r="H97" s="75"/>
      <c r="I97" s="75"/>
      <c r="J97" s="75"/>
    </row>
    <row r="98" spans="1:10" ht="15.75" customHeight="1">
      <c r="A98" s="75"/>
      <c r="B98" s="75"/>
      <c r="C98" s="75"/>
      <c r="D98" s="75"/>
      <c r="E98" s="75"/>
      <c r="F98" s="75"/>
      <c r="G98" s="75"/>
      <c r="H98" s="75"/>
      <c r="I98" s="75"/>
      <c r="J98" s="75"/>
    </row>
    <row r="99" spans="1:10" ht="15.75" customHeight="1">
      <c r="A99" s="75"/>
      <c r="B99" s="75"/>
      <c r="C99" s="75"/>
      <c r="D99" s="75"/>
      <c r="E99" s="75"/>
      <c r="F99" s="75"/>
      <c r="G99" s="75"/>
      <c r="H99" s="75"/>
      <c r="I99" s="75"/>
      <c r="J99" s="75"/>
    </row>
    <row r="100" spans="1:10" ht="15.75" customHeight="1">
      <c r="A100" s="75"/>
      <c r="B100" s="75"/>
      <c r="C100" s="75"/>
      <c r="D100" s="75"/>
      <c r="E100" s="75"/>
      <c r="F100" s="75"/>
      <c r="G100" s="75"/>
      <c r="H100" s="75"/>
      <c r="I100" s="75"/>
      <c r="J100" s="75"/>
    </row>
    <row r="101" spans="1:10" ht="15.75" customHeight="1">
      <c r="A101" s="75"/>
      <c r="B101" s="75"/>
      <c r="C101" s="75"/>
      <c r="D101" s="75"/>
      <c r="E101" s="75"/>
      <c r="F101" s="75"/>
      <c r="G101" s="75"/>
      <c r="H101" s="75"/>
      <c r="I101" s="75"/>
      <c r="J101" s="75"/>
    </row>
    <row r="102" spans="1:10" ht="15.75" customHeight="1">
      <c r="A102" s="75"/>
      <c r="B102" s="75"/>
      <c r="C102" s="75"/>
      <c r="D102" s="75"/>
      <c r="E102" s="75"/>
      <c r="F102" s="75"/>
      <c r="G102" s="75"/>
      <c r="H102" s="75"/>
      <c r="I102" s="75"/>
      <c r="J102" s="75"/>
    </row>
    <row r="103" spans="1:10" ht="15.75" customHeight="1">
      <c r="A103" s="75"/>
      <c r="B103" s="75"/>
      <c r="C103" s="75"/>
      <c r="D103" s="75"/>
      <c r="E103" s="75"/>
      <c r="F103" s="75"/>
      <c r="G103" s="75"/>
      <c r="H103" s="75"/>
      <c r="I103" s="75"/>
      <c r="J103" s="75"/>
    </row>
    <row r="104" spans="1:10" ht="15.75" customHeight="1">
      <c r="A104" s="75"/>
      <c r="B104" s="75"/>
      <c r="C104" s="75"/>
      <c r="D104" s="75"/>
      <c r="E104" s="75"/>
      <c r="F104" s="75"/>
      <c r="G104" s="75"/>
      <c r="H104" s="75"/>
      <c r="I104" s="75"/>
      <c r="J104" s="75"/>
    </row>
    <row r="105" spans="1:10" ht="15.75" customHeight="1">
      <c r="A105" s="75"/>
      <c r="B105" s="75"/>
      <c r="C105" s="75"/>
      <c r="D105" s="75"/>
      <c r="E105" s="75"/>
      <c r="F105" s="75"/>
      <c r="G105" s="75"/>
      <c r="H105" s="75"/>
      <c r="I105" s="75"/>
      <c r="J105" s="75"/>
    </row>
    <row r="106" spans="1:10" ht="15.75" customHeight="1">
      <c r="A106" s="75"/>
      <c r="B106" s="75"/>
      <c r="C106" s="75"/>
      <c r="D106" s="75"/>
      <c r="E106" s="75"/>
      <c r="F106" s="75"/>
      <c r="G106" s="75"/>
      <c r="H106" s="75"/>
      <c r="I106" s="75"/>
      <c r="J106" s="75"/>
    </row>
    <row r="107" spans="1:10" ht="15.75" customHeight="1">
      <c r="A107" s="75"/>
      <c r="B107" s="75"/>
      <c r="C107" s="75"/>
      <c r="D107" s="75"/>
      <c r="E107" s="75"/>
      <c r="F107" s="75"/>
      <c r="G107" s="75"/>
      <c r="H107" s="75"/>
      <c r="I107" s="75"/>
      <c r="J107" s="75"/>
    </row>
    <row r="108" spans="1:10" ht="15.75" customHeight="1">
      <c r="A108" s="75"/>
      <c r="B108" s="75"/>
      <c r="C108" s="75"/>
      <c r="D108" s="75"/>
      <c r="E108" s="75"/>
      <c r="F108" s="75"/>
      <c r="G108" s="75"/>
      <c r="H108" s="75"/>
      <c r="I108" s="75"/>
      <c r="J108" s="75"/>
    </row>
    <row r="109" spans="1:10" ht="15.75" customHeight="1">
      <c r="A109" s="75"/>
      <c r="B109" s="75"/>
      <c r="C109" s="75"/>
      <c r="D109" s="75"/>
      <c r="E109" s="75"/>
      <c r="F109" s="75"/>
      <c r="G109" s="75"/>
      <c r="H109" s="75"/>
      <c r="I109" s="75"/>
      <c r="J109" s="75"/>
    </row>
    <row r="110" spans="1:10" ht="15.75" customHeight="1">
      <c r="A110" s="75"/>
      <c r="B110" s="75"/>
      <c r="C110" s="75"/>
      <c r="D110" s="75"/>
      <c r="E110" s="75"/>
      <c r="F110" s="75"/>
      <c r="G110" s="75"/>
      <c r="H110" s="75"/>
      <c r="I110" s="75"/>
      <c r="J110" s="75"/>
    </row>
    <row r="111" spans="1:10" ht="15.75" customHeight="1">
      <c r="A111" s="75"/>
      <c r="B111" s="75"/>
      <c r="C111" s="75"/>
      <c r="D111" s="75"/>
      <c r="E111" s="75"/>
      <c r="F111" s="75"/>
      <c r="G111" s="75"/>
      <c r="H111" s="75"/>
      <c r="I111" s="75"/>
      <c r="J111" s="75"/>
    </row>
    <row r="112" spans="1:10" ht="15.75" customHeight="1">
      <c r="A112" s="75"/>
      <c r="B112" s="75"/>
      <c r="C112" s="75"/>
      <c r="D112" s="75"/>
      <c r="E112" s="75"/>
      <c r="F112" s="75"/>
      <c r="G112" s="75"/>
      <c r="H112" s="75"/>
      <c r="I112" s="75"/>
      <c r="J112" s="75"/>
    </row>
    <row r="113" spans="1:10" ht="15.75" customHeight="1">
      <c r="A113" s="75"/>
      <c r="B113" s="75"/>
      <c r="C113" s="75"/>
      <c r="D113" s="75"/>
      <c r="E113" s="75"/>
      <c r="F113" s="75"/>
      <c r="G113" s="75"/>
      <c r="H113" s="75"/>
      <c r="I113" s="75"/>
      <c r="J113" s="75"/>
    </row>
    <row r="114" spans="1:10" ht="15.75" customHeight="1">
      <c r="A114" s="75"/>
      <c r="B114" s="75"/>
      <c r="C114" s="75"/>
      <c r="D114" s="75"/>
      <c r="E114" s="75"/>
      <c r="F114" s="75"/>
      <c r="G114" s="75"/>
      <c r="H114" s="75"/>
      <c r="I114" s="75"/>
      <c r="J114" s="75"/>
    </row>
    <row r="115" spans="1:10" ht="15.75" customHeight="1">
      <c r="A115" s="75"/>
      <c r="B115" s="75"/>
      <c r="C115" s="75"/>
      <c r="D115" s="75"/>
      <c r="E115" s="75"/>
      <c r="F115" s="75"/>
      <c r="G115" s="75"/>
      <c r="H115" s="75"/>
      <c r="I115" s="75"/>
      <c r="J115" s="75"/>
    </row>
    <row r="116" spans="1:10" ht="15.75" customHeight="1">
      <c r="A116" s="75"/>
      <c r="B116" s="75"/>
      <c r="C116" s="75"/>
      <c r="D116" s="75"/>
      <c r="E116" s="75"/>
      <c r="F116" s="75"/>
      <c r="G116" s="75"/>
      <c r="H116" s="75"/>
      <c r="I116" s="75"/>
      <c r="J116" s="75"/>
    </row>
    <row r="117" spans="1:10" ht="15.75" customHeight="1">
      <c r="A117" s="75"/>
      <c r="B117" s="75"/>
      <c r="C117" s="75"/>
      <c r="D117" s="75"/>
      <c r="E117" s="75"/>
      <c r="F117" s="75"/>
      <c r="G117" s="75"/>
      <c r="H117" s="75"/>
      <c r="I117" s="75"/>
      <c r="J117" s="75"/>
    </row>
    <row r="118" spans="1:10" ht="15.75" customHeight="1">
      <c r="A118" s="75"/>
      <c r="B118" s="75"/>
      <c r="C118" s="75"/>
      <c r="D118" s="75"/>
      <c r="E118" s="75"/>
      <c r="F118" s="75"/>
      <c r="G118" s="75"/>
      <c r="H118" s="75"/>
      <c r="I118" s="75"/>
      <c r="J118" s="75"/>
    </row>
    <row r="119" spans="1:10" ht="15.75" customHeight="1">
      <c r="A119" s="75"/>
      <c r="B119" s="75"/>
      <c r="C119" s="75"/>
      <c r="D119" s="75"/>
      <c r="E119" s="75"/>
      <c r="F119" s="75"/>
      <c r="G119" s="75"/>
      <c r="H119" s="75"/>
      <c r="I119" s="75"/>
      <c r="J119" s="75"/>
    </row>
    <row r="120" spans="1:10" ht="15.75" customHeight="1">
      <c r="A120" s="75"/>
      <c r="B120" s="75"/>
      <c r="C120" s="75"/>
      <c r="D120" s="75"/>
      <c r="E120" s="75"/>
      <c r="F120" s="75"/>
      <c r="G120" s="75"/>
      <c r="H120" s="75"/>
      <c r="I120" s="75"/>
      <c r="J120" s="75"/>
    </row>
    <row r="121" spans="1:10" ht="15.75" customHeight="1">
      <c r="A121" s="75"/>
      <c r="B121" s="75"/>
      <c r="C121" s="75"/>
      <c r="D121" s="75"/>
      <c r="E121" s="75"/>
      <c r="F121" s="75"/>
      <c r="G121" s="75"/>
      <c r="H121" s="75"/>
      <c r="I121" s="75"/>
      <c r="J121" s="75"/>
    </row>
    <row r="122" spans="1:10" ht="15.75" customHeight="1">
      <c r="A122" s="75"/>
      <c r="B122" s="75"/>
      <c r="C122" s="75"/>
      <c r="D122" s="75"/>
      <c r="E122" s="75"/>
      <c r="F122" s="75"/>
      <c r="G122" s="75"/>
      <c r="H122" s="75"/>
      <c r="I122" s="75"/>
      <c r="J122" s="75"/>
    </row>
    <row r="123" spans="1:10" ht="15.75" customHeight="1">
      <c r="A123" s="75"/>
      <c r="B123" s="75"/>
      <c r="C123" s="75"/>
      <c r="D123" s="75"/>
      <c r="E123" s="75"/>
      <c r="F123" s="75"/>
      <c r="G123" s="75"/>
      <c r="H123" s="75"/>
      <c r="I123" s="75"/>
      <c r="J123" s="75"/>
    </row>
    <row r="124" spans="1:10" ht="15.75" customHeight="1">
      <c r="A124" s="75"/>
      <c r="B124" s="75"/>
      <c r="C124" s="75"/>
      <c r="D124" s="75"/>
      <c r="E124" s="75"/>
      <c r="F124" s="75"/>
      <c r="G124" s="75"/>
      <c r="H124" s="75"/>
      <c r="I124" s="75"/>
      <c r="J124" s="75"/>
    </row>
    <row r="125" spans="1:10" ht="15.75" customHeight="1">
      <c r="A125" s="75"/>
      <c r="B125" s="75"/>
      <c r="C125" s="75"/>
      <c r="D125" s="75"/>
      <c r="E125" s="75"/>
      <c r="F125" s="75"/>
      <c r="G125" s="75"/>
      <c r="H125" s="75"/>
      <c r="I125" s="75"/>
      <c r="J125" s="75"/>
    </row>
    <row r="126" spans="1:10" ht="15.75" customHeight="1">
      <c r="A126" s="75"/>
      <c r="B126" s="75"/>
      <c r="C126" s="75"/>
      <c r="D126" s="75"/>
      <c r="E126" s="75"/>
      <c r="F126" s="75"/>
      <c r="G126" s="75"/>
      <c r="H126" s="75"/>
      <c r="I126" s="75"/>
      <c r="J126" s="75"/>
    </row>
    <row r="127" spans="1:10" ht="15.75" customHeight="1">
      <c r="A127" s="75"/>
      <c r="B127" s="75"/>
      <c r="C127" s="75"/>
      <c r="D127" s="75"/>
      <c r="E127" s="75"/>
      <c r="F127" s="75"/>
      <c r="G127" s="75"/>
      <c r="H127" s="75"/>
      <c r="I127" s="75"/>
      <c r="J127" s="75"/>
    </row>
    <row r="128" spans="1:10" ht="15.75" customHeight="1">
      <c r="A128" s="75"/>
      <c r="B128" s="75"/>
      <c r="C128" s="75"/>
      <c r="D128" s="75"/>
      <c r="E128" s="75"/>
      <c r="F128" s="75"/>
      <c r="G128" s="75"/>
      <c r="H128" s="75"/>
      <c r="I128" s="75"/>
      <c r="J128" s="75"/>
    </row>
    <row r="129" spans="1:10" ht="15.75" customHeight="1">
      <c r="A129" s="75"/>
      <c r="B129" s="75"/>
      <c r="C129" s="75"/>
      <c r="D129" s="75"/>
      <c r="E129" s="75"/>
      <c r="F129" s="75"/>
      <c r="G129" s="75"/>
      <c r="H129" s="75"/>
      <c r="I129" s="75"/>
      <c r="J129" s="75"/>
    </row>
    <row r="130" spans="1:10" ht="15.75" customHeight="1">
      <c r="A130" s="75"/>
      <c r="B130" s="75"/>
      <c r="C130" s="75"/>
      <c r="D130" s="75"/>
      <c r="E130" s="75"/>
      <c r="F130" s="75"/>
      <c r="G130" s="75"/>
      <c r="H130" s="75"/>
      <c r="I130" s="75"/>
      <c r="J130" s="75"/>
    </row>
    <row r="131" spans="1:10" ht="15.75" customHeight="1">
      <c r="A131" s="75"/>
      <c r="B131" s="75"/>
      <c r="C131" s="75"/>
      <c r="D131" s="75"/>
      <c r="E131" s="75"/>
      <c r="F131" s="75"/>
      <c r="G131" s="75"/>
      <c r="H131" s="75"/>
      <c r="I131" s="75"/>
      <c r="J131" s="75"/>
    </row>
    <row r="132" spans="1:10" ht="15.75" customHeight="1">
      <c r="A132" s="75"/>
      <c r="B132" s="75"/>
      <c r="C132" s="75"/>
      <c r="D132" s="75"/>
      <c r="E132" s="75"/>
      <c r="F132" s="75"/>
      <c r="G132" s="75"/>
      <c r="H132" s="75"/>
      <c r="I132" s="75"/>
      <c r="J132" s="75"/>
    </row>
    <row r="133" spans="1:10" ht="15.75" customHeight="1">
      <c r="A133" s="75"/>
      <c r="B133" s="75"/>
      <c r="C133" s="75"/>
      <c r="D133" s="75"/>
      <c r="E133" s="75"/>
      <c r="F133" s="75"/>
      <c r="G133" s="75"/>
      <c r="H133" s="75"/>
      <c r="I133" s="75"/>
      <c r="J133" s="75"/>
    </row>
    <row r="134" spans="1:10" ht="15.75" customHeight="1">
      <c r="A134" s="75"/>
      <c r="B134" s="75"/>
      <c r="C134" s="75"/>
      <c r="D134" s="75"/>
      <c r="E134" s="75"/>
      <c r="F134" s="75"/>
      <c r="G134" s="75"/>
      <c r="H134" s="75"/>
      <c r="I134" s="75"/>
      <c r="J134" s="75"/>
    </row>
    <row r="135" spans="1:10" ht="15.75" customHeight="1">
      <c r="A135" s="75"/>
      <c r="B135" s="75"/>
      <c r="C135" s="75"/>
      <c r="D135" s="75"/>
      <c r="E135" s="75"/>
      <c r="F135" s="75"/>
      <c r="G135" s="75"/>
      <c r="H135" s="75"/>
      <c r="I135" s="75"/>
      <c r="J135" s="75"/>
    </row>
    <row r="136" spans="1:10" ht="15.75" customHeight="1">
      <c r="A136" s="75"/>
      <c r="B136" s="75"/>
      <c r="C136" s="75"/>
      <c r="D136" s="75"/>
      <c r="E136" s="75"/>
      <c r="F136" s="75"/>
      <c r="G136" s="75"/>
      <c r="H136" s="75"/>
      <c r="I136" s="75"/>
      <c r="J136" s="75"/>
    </row>
    <row r="137" spans="1:10" ht="15.75" customHeight="1">
      <c r="A137" s="75"/>
      <c r="B137" s="75"/>
      <c r="C137" s="75"/>
      <c r="D137" s="75"/>
      <c r="E137" s="75"/>
      <c r="F137" s="75"/>
      <c r="G137" s="75"/>
      <c r="H137" s="75"/>
      <c r="I137" s="75"/>
      <c r="J137" s="75"/>
    </row>
    <row r="138" spans="1:10" ht="15.75" customHeight="1">
      <c r="A138" s="75"/>
      <c r="B138" s="75"/>
      <c r="C138" s="75"/>
      <c r="D138" s="75"/>
      <c r="E138" s="75"/>
      <c r="F138" s="75"/>
      <c r="G138" s="75"/>
      <c r="H138" s="75"/>
      <c r="I138" s="75"/>
      <c r="J138" s="75"/>
    </row>
    <row r="139" spans="1:10" ht="15.75" customHeight="1">
      <c r="A139" s="75"/>
      <c r="B139" s="75"/>
      <c r="C139" s="75"/>
      <c r="D139" s="75"/>
      <c r="E139" s="75"/>
      <c r="F139" s="75"/>
      <c r="G139" s="75"/>
      <c r="H139" s="75"/>
      <c r="I139" s="75"/>
      <c r="J139" s="75"/>
    </row>
    <row r="140" spans="1:10" ht="15.75" customHeight="1">
      <c r="A140" s="75"/>
      <c r="B140" s="75"/>
      <c r="C140" s="75"/>
      <c r="D140" s="75"/>
      <c r="E140" s="75"/>
      <c r="F140" s="75"/>
      <c r="G140" s="75"/>
      <c r="H140" s="75"/>
      <c r="I140" s="75"/>
      <c r="J140" s="75"/>
    </row>
    <row r="141" spans="1:10" ht="15.75" customHeight="1">
      <c r="A141" s="75"/>
      <c r="B141" s="75"/>
      <c r="C141" s="75"/>
      <c r="D141" s="75"/>
      <c r="E141" s="75"/>
      <c r="F141" s="75"/>
      <c r="G141" s="75"/>
      <c r="H141" s="75"/>
      <c r="I141" s="75"/>
      <c r="J141" s="75"/>
    </row>
    <row r="142" spans="1:10" ht="15.75" customHeight="1">
      <c r="A142" s="75"/>
      <c r="B142" s="75"/>
      <c r="C142" s="75"/>
      <c r="D142" s="75"/>
      <c r="E142" s="75"/>
      <c r="F142" s="75"/>
      <c r="G142" s="75"/>
      <c r="H142" s="75"/>
      <c r="I142" s="75"/>
      <c r="J142" s="75"/>
    </row>
    <row r="143" spans="1:10" ht="15.75" customHeight="1">
      <c r="A143" s="75"/>
      <c r="B143" s="75"/>
      <c r="C143" s="75"/>
      <c r="D143" s="75"/>
      <c r="E143" s="75"/>
      <c r="F143" s="75"/>
      <c r="G143" s="75"/>
      <c r="H143" s="75"/>
      <c r="I143" s="75"/>
      <c r="J143" s="75"/>
    </row>
    <row r="144" spans="1:10" ht="15.75" customHeight="1">
      <c r="A144" s="75"/>
      <c r="B144" s="75"/>
      <c r="C144" s="75"/>
      <c r="D144" s="75"/>
      <c r="E144" s="75"/>
      <c r="F144" s="75"/>
      <c r="G144" s="75"/>
      <c r="H144" s="75"/>
      <c r="I144" s="75"/>
      <c r="J144" s="75"/>
    </row>
    <row r="145" spans="1:10" ht="15.75" customHeight="1">
      <c r="A145" s="75"/>
      <c r="B145" s="75"/>
      <c r="C145" s="75"/>
      <c r="D145" s="75"/>
      <c r="E145" s="75"/>
      <c r="F145" s="75"/>
      <c r="G145" s="75"/>
      <c r="H145" s="75"/>
      <c r="I145" s="75"/>
      <c r="J145" s="75"/>
    </row>
    <row r="146" spans="1:10" ht="15.75" customHeight="1">
      <c r="A146" s="75"/>
      <c r="B146" s="75"/>
      <c r="C146" s="75"/>
      <c r="D146" s="75"/>
      <c r="E146" s="75"/>
      <c r="F146" s="75"/>
      <c r="G146" s="75"/>
      <c r="H146" s="75"/>
      <c r="I146" s="75"/>
      <c r="J146" s="75"/>
    </row>
    <row r="147" spans="1:10" ht="15.75" customHeight="1">
      <c r="A147" s="75"/>
      <c r="B147" s="75"/>
      <c r="C147" s="75"/>
      <c r="D147" s="75"/>
      <c r="E147" s="75"/>
      <c r="F147" s="75"/>
      <c r="G147" s="75"/>
      <c r="H147" s="75"/>
      <c r="I147" s="75"/>
      <c r="J147" s="75"/>
    </row>
    <row r="148" spans="1:10" ht="15.75" customHeight="1">
      <c r="A148" s="75"/>
      <c r="B148" s="75"/>
      <c r="C148" s="75"/>
      <c r="D148" s="75"/>
      <c r="E148" s="75"/>
      <c r="F148" s="75"/>
      <c r="G148" s="75"/>
      <c r="H148" s="75"/>
      <c r="I148" s="75"/>
      <c r="J148" s="75"/>
    </row>
    <row r="149" spans="1:10" ht="15.75" customHeight="1">
      <c r="A149" s="75"/>
      <c r="B149" s="75"/>
      <c r="C149" s="75"/>
      <c r="D149" s="75"/>
      <c r="E149" s="75"/>
      <c r="F149" s="75"/>
      <c r="G149" s="75"/>
      <c r="H149" s="75"/>
      <c r="I149" s="75"/>
      <c r="J149" s="75"/>
    </row>
    <row r="150" spans="1:10" ht="15.75" customHeight="1">
      <c r="A150" s="75"/>
      <c r="B150" s="75"/>
      <c r="C150" s="75"/>
      <c r="D150" s="75"/>
      <c r="E150" s="75"/>
      <c r="F150" s="75"/>
      <c r="G150" s="75"/>
      <c r="H150" s="75"/>
      <c r="I150" s="75"/>
      <c r="J150" s="75"/>
    </row>
    <row r="151" spans="1:10" ht="15.75" customHeight="1">
      <c r="A151" s="75"/>
      <c r="B151" s="75"/>
      <c r="C151" s="75"/>
      <c r="D151" s="75"/>
      <c r="E151" s="75"/>
      <c r="F151" s="75"/>
      <c r="G151" s="75"/>
      <c r="H151" s="75"/>
      <c r="I151" s="75"/>
      <c r="J151" s="75"/>
    </row>
    <row r="152" spans="1:10" ht="15.75" customHeight="1">
      <c r="A152" s="75"/>
      <c r="B152" s="75"/>
      <c r="C152" s="75"/>
      <c r="D152" s="75"/>
      <c r="E152" s="75"/>
      <c r="F152" s="75"/>
      <c r="G152" s="75"/>
      <c r="H152" s="75"/>
      <c r="I152" s="75"/>
      <c r="J152" s="75"/>
    </row>
    <row r="153" spans="1:10" ht="15.75" customHeight="1">
      <c r="A153" s="75"/>
      <c r="B153" s="75"/>
      <c r="C153" s="75"/>
      <c r="D153" s="75"/>
      <c r="E153" s="75"/>
      <c r="F153" s="75"/>
      <c r="G153" s="75"/>
      <c r="H153" s="75"/>
      <c r="I153" s="75"/>
      <c r="J153" s="75"/>
    </row>
    <row r="154" spans="1:10" ht="15.75" customHeight="1">
      <c r="A154" s="75"/>
      <c r="B154" s="75"/>
      <c r="C154" s="75"/>
      <c r="D154" s="75"/>
      <c r="E154" s="75"/>
      <c r="F154" s="75"/>
      <c r="G154" s="75"/>
      <c r="H154" s="75"/>
      <c r="I154" s="75"/>
      <c r="J154" s="75"/>
    </row>
    <row r="155" spans="1:10" ht="15.75" customHeight="1">
      <c r="A155" s="75"/>
      <c r="B155" s="75"/>
      <c r="C155" s="75"/>
      <c r="D155" s="75"/>
      <c r="E155" s="75"/>
      <c r="F155" s="75"/>
      <c r="G155" s="75"/>
      <c r="H155" s="75"/>
      <c r="I155" s="75"/>
      <c r="J155" s="75"/>
    </row>
    <row r="156" spans="1:10" ht="15.75" customHeight="1">
      <c r="A156" s="75"/>
      <c r="B156" s="75"/>
      <c r="C156" s="75"/>
      <c r="D156" s="75"/>
      <c r="E156" s="75"/>
      <c r="F156" s="75"/>
      <c r="G156" s="75"/>
      <c r="H156" s="75"/>
      <c r="I156" s="75"/>
      <c r="J156" s="75"/>
    </row>
    <row r="157" spans="1:10" ht="15.75" customHeight="1">
      <c r="A157" s="75"/>
      <c r="B157" s="75"/>
      <c r="C157" s="75"/>
      <c r="D157" s="75"/>
      <c r="E157" s="75"/>
      <c r="F157" s="75"/>
      <c r="G157" s="75"/>
      <c r="H157" s="75"/>
      <c r="I157" s="75"/>
      <c r="J157" s="75"/>
    </row>
    <row r="158" spans="1:10" ht="15.75" customHeight="1">
      <c r="A158" s="75"/>
      <c r="B158" s="75"/>
      <c r="C158" s="75"/>
      <c r="D158" s="75"/>
      <c r="E158" s="75"/>
      <c r="F158" s="75"/>
      <c r="G158" s="75"/>
      <c r="H158" s="75"/>
      <c r="I158" s="75"/>
      <c r="J158" s="75"/>
    </row>
    <row r="159" spans="1:10" ht="15.75" customHeight="1">
      <c r="A159" s="75"/>
      <c r="B159" s="75"/>
      <c r="C159" s="75"/>
      <c r="D159" s="75"/>
      <c r="E159" s="75"/>
      <c r="F159" s="75"/>
      <c r="G159" s="75"/>
      <c r="H159" s="75"/>
      <c r="I159" s="75"/>
      <c r="J159" s="75"/>
    </row>
    <row r="160" spans="1:10" ht="15.75" customHeight="1">
      <c r="A160" s="75"/>
      <c r="B160" s="75"/>
      <c r="C160" s="75"/>
      <c r="D160" s="75"/>
      <c r="E160" s="75"/>
      <c r="F160" s="75"/>
      <c r="G160" s="75"/>
      <c r="H160" s="75"/>
      <c r="I160" s="75"/>
      <c r="J160" s="75"/>
    </row>
    <row r="161" spans="1:10" ht="15.75" customHeight="1">
      <c r="A161" s="75"/>
      <c r="B161" s="75"/>
      <c r="C161" s="75"/>
      <c r="D161" s="75"/>
      <c r="E161" s="75"/>
      <c r="F161" s="75"/>
      <c r="G161" s="75"/>
      <c r="H161" s="75"/>
      <c r="I161" s="75"/>
      <c r="J161" s="75"/>
    </row>
    <row r="162" spans="1:10" ht="15.75" customHeight="1">
      <c r="A162" s="75"/>
      <c r="B162" s="75"/>
      <c r="C162" s="75"/>
      <c r="D162" s="75"/>
      <c r="E162" s="75"/>
      <c r="F162" s="75"/>
      <c r="G162" s="75"/>
      <c r="H162" s="75"/>
      <c r="I162" s="75"/>
      <c r="J162" s="75"/>
    </row>
    <row r="163" spans="1:10" ht="15.75" customHeight="1">
      <c r="A163" s="75"/>
      <c r="B163" s="75"/>
      <c r="C163" s="75"/>
      <c r="D163" s="75"/>
      <c r="E163" s="75"/>
      <c r="F163" s="75"/>
      <c r="G163" s="75"/>
      <c r="H163" s="75"/>
      <c r="I163" s="75"/>
      <c r="J163" s="75"/>
    </row>
    <row r="164" spans="1:10" ht="15.75" customHeight="1">
      <c r="A164" s="75"/>
      <c r="B164" s="75"/>
      <c r="C164" s="75"/>
      <c r="D164" s="75"/>
      <c r="E164" s="75"/>
      <c r="F164" s="75"/>
      <c r="G164" s="75"/>
      <c r="H164" s="75"/>
      <c r="I164" s="75"/>
      <c r="J164" s="75"/>
    </row>
    <row r="165" spans="1:10" ht="15.75" customHeight="1">
      <c r="A165" s="75"/>
      <c r="B165" s="75"/>
      <c r="C165" s="75"/>
      <c r="D165" s="75"/>
      <c r="E165" s="75"/>
      <c r="F165" s="75"/>
      <c r="G165" s="75"/>
      <c r="H165" s="75"/>
      <c r="I165" s="75"/>
      <c r="J165" s="75"/>
    </row>
    <row r="166" spans="1:10" ht="15.75" customHeight="1">
      <c r="A166" s="75"/>
      <c r="B166" s="75"/>
      <c r="C166" s="75"/>
      <c r="D166" s="75"/>
      <c r="E166" s="75"/>
      <c r="F166" s="75"/>
      <c r="G166" s="75"/>
      <c r="H166" s="75"/>
      <c r="I166" s="75"/>
      <c r="J166" s="75"/>
    </row>
    <row r="167" spans="1:10" ht="15.75" customHeight="1">
      <c r="A167" s="75"/>
      <c r="B167" s="75"/>
      <c r="C167" s="75"/>
      <c r="D167" s="75"/>
      <c r="E167" s="75"/>
      <c r="F167" s="75"/>
      <c r="G167" s="75"/>
      <c r="H167" s="75"/>
      <c r="I167" s="75"/>
      <c r="J167" s="75"/>
    </row>
    <row r="168" spans="1:10" ht="15.75" customHeight="1">
      <c r="A168" s="75"/>
      <c r="B168" s="75"/>
      <c r="C168" s="75"/>
      <c r="D168" s="75"/>
      <c r="E168" s="75"/>
      <c r="F168" s="75"/>
      <c r="G168" s="75"/>
      <c r="H168" s="75"/>
      <c r="I168" s="75"/>
      <c r="J168" s="75"/>
    </row>
    <row r="169" spans="1:10" ht="15.75" customHeight="1">
      <c r="A169" s="75"/>
      <c r="B169" s="75"/>
      <c r="C169" s="75"/>
      <c r="D169" s="75"/>
      <c r="E169" s="75"/>
      <c r="F169" s="75"/>
      <c r="G169" s="75"/>
      <c r="H169" s="75"/>
      <c r="I169" s="75"/>
      <c r="J169" s="75"/>
    </row>
    <row r="170" spans="1:10" ht="15.75" customHeight="1">
      <c r="A170" s="75"/>
      <c r="B170" s="75"/>
      <c r="C170" s="75"/>
      <c r="D170" s="75"/>
      <c r="E170" s="75"/>
      <c r="F170" s="75"/>
      <c r="G170" s="75"/>
      <c r="H170" s="75"/>
      <c r="I170" s="75"/>
      <c r="J170" s="75"/>
    </row>
    <row r="171" spans="1:10" ht="15.75" customHeight="1">
      <c r="A171" s="75"/>
      <c r="B171" s="75"/>
      <c r="C171" s="75"/>
      <c r="D171" s="75"/>
      <c r="E171" s="75"/>
      <c r="F171" s="75"/>
      <c r="G171" s="75"/>
      <c r="H171" s="75"/>
      <c r="I171" s="75"/>
      <c r="J171" s="75"/>
    </row>
    <row r="172" spans="1:10" ht="15.75" customHeight="1">
      <c r="A172" s="75"/>
      <c r="B172" s="75"/>
      <c r="C172" s="75"/>
      <c r="D172" s="75"/>
      <c r="E172" s="75"/>
      <c r="F172" s="75"/>
      <c r="G172" s="75"/>
      <c r="H172" s="75"/>
      <c r="I172" s="75"/>
      <c r="J172" s="75"/>
    </row>
    <row r="173" spans="1:10" ht="15.75" customHeight="1">
      <c r="A173" s="75"/>
      <c r="B173" s="75"/>
      <c r="C173" s="75"/>
      <c r="D173" s="75"/>
      <c r="E173" s="75"/>
      <c r="F173" s="75"/>
      <c r="G173" s="75"/>
      <c r="H173" s="75"/>
      <c r="I173" s="75"/>
      <c r="J173" s="75"/>
    </row>
    <row r="174" spans="1:10" ht="15.75" customHeight="1">
      <c r="A174" s="75"/>
      <c r="B174" s="75"/>
      <c r="C174" s="75"/>
      <c r="D174" s="75"/>
      <c r="E174" s="75"/>
      <c r="F174" s="75"/>
      <c r="G174" s="75"/>
      <c r="H174" s="75"/>
      <c r="I174" s="75"/>
      <c r="J174" s="75"/>
    </row>
    <row r="175" spans="1:10" ht="15.75" customHeight="1">
      <c r="A175" s="75"/>
      <c r="B175" s="75"/>
      <c r="C175" s="75"/>
      <c r="D175" s="75"/>
      <c r="E175" s="75"/>
      <c r="F175" s="75"/>
      <c r="G175" s="75"/>
      <c r="H175" s="75"/>
      <c r="I175" s="75"/>
      <c r="J175" s="75"/>
    </row>
    <row r="176" spans="1:10" ht="15.75" customHeight="1">
      <c r="A176" s="75"/>
      <c r="B176" s="75"/>
      <c r="C176" s="75"/>
      <c r="D176" s="75"/>
      <c r="E176" s="75"/>
      <c r="F176" s="75"/>
      <c r="G176" s="75"/>
      <c r="H176" s="75"/>
      <c r="I176" s="75"/>
      <c r="J176" s="75"/>
    </row>
    <row r="177" spans="1:10" ht="15.75" customHeight="1">
      <c r="A177" s="75"/>
      <c r="B177" s="75"/>
      <c r="C177" s="75"/>
      <c r="D177" s="75"/>
      <c r="E177" s="75"/>
      <c r="F177" s="75"/>
      <c r="G177" s="75"/>
      <c r="H177" s="75"/>
      <c r="I177" s="75"/>
      <c r="J177" s="75"/>
    </row>
    <row r="178" spans="1:10" ht="15.75" customHeight="1">
      <c r="A178" s="75"/>
      <c r="B178" s="75"/>
      <c r="C178" s="75"/>
      <c r="D178" s="75"/>
      <c r="E178" s="75"/>
      <c r="F178" s="75"/>
      <c r="G178" s="75"/>
      <c r="H178" s="75"/>
      <c r="I178" s="75"/>
      <c r="J178" s="75"/>
    </row>
    <row r="179" spans="1:10" ht="15.75" customHeight="1">
      <c r="A179" s="75"/>
      <c r="B179" s="75"/>
      <c r="C179" s="75"/>
      <c r="D179" s="75"/>
      <c r="E179" s="75"/>
      <c r="F179" s="75"/>
      <c r="G179" s="75"/>
      <c r="H179" s="75"/>
      <c r="I179" s="75"/>
      <c r="J179" s="75"/>
    </row>
    <row r="180" spans="1:10" ht="15.75" customHeight="1">
      <c r="A180" s="75"/>
      <c r="B180" s="75"/>
      <c r="C180" s="75"/>
      <c r="D180" s="75"/>
      <c r="E180" s="75"/>
      <c r="F180" s="75"/>
      <c r="G180" s="75"/>
      <c r="H180" s="75"/>
      <c r="I180" s="75"/>
      <c r="J180" s="75"/>
    </row>
    <row r="181" spans="1:10" ht="15.75" customHeight="1">
      <c r="A181" s="75"/>
      <c r="B181" s="75"/>
      <c r="C181" s="75"/>
      <c r="D181" s="75"/>
      <c r="E181" s="75"/>
      <c r="F181" s="75"/>
      <c r="G181" s="75"/>
      <c r="H181" s="75"/>
      <c r="I181" s="75"/>
      <c r="J181" s="75"/>
    </row>
    <row r="182" spans="1:10" ht="15.75" customHeight="1">
      <c r="A182" s="75"/>
      <c r="B182" s="75"/>
      <c r="C182" s="75"/>
      <c r="D182" s="75"/>
      <c r="E182" s="75"/>
      <c r="F182" s="75"/>
      <c r="G182" s="75"/>
      <c r="H182" s="75"/>
      <c r="I182" s="75"/>
      <c r="J182" s="75"/>
    </row>
    <row r="183" spans="1:10" ht="15.75" customHeight="1">
      <c r="A183" s="75"/>
      <c r="B183" s="75"/>
      <c r="C183" s="75"/>
      <c r="D183" s="75"/>
      <c r="E183" s="75"/>
      <c r="F183" s="75"/>
      <c r="G183" s="75"/>
      <c r="H183" s="75"/>
      <c r="I183" s="75"/>
      <c r="J183" s="75"/>
    </row>
    <row r="184" spans="1:10" ht="15.75" customHeight="1">
      <c r="A184" s="75"/>
      <c r="B184" s="75"/>
      <c r="C184" s="75"/>
      <c r="D184" s="75"/>
      <c r="E184" s="75"/>
      <c r="F184" s="75"/>
      <c r="G184" s="75"/>
      <c r="H184" s="75"/>
      <c r="I184" s="75"/>
      <c r="J184" s="75"/>
    </row>
    <row r="185" spans="1:10" ht="15.75" customHeight="1">
      <c r="A185" s="75"/>
      <c r="B185" s="75"/>
      <c r="C185" s="75"/>
      <c r="D185" s="75"/>
      <c r="E185" s="75"/>
      <c r="F185" s="75"/>
      <c r="G185" s="75"/>
      <c r="H185" s="75"/>
      <c r="I185" s="75"/>
      <c r="J185" s="75"/>
    </row>
    <row r="186" spans="1:10" ht="15.75" customHeight="1">
      <c r="A186" s="75"/>
      <c r="B186" s="75"/>
      <c r="C186" s="75"/>
      <c r="D186" s="75"/>
      <c r="E186" s="75"/>
      <c r="F186" s="75"/>
      <c r="G186" s="75"/>
      <c r="H186" s="75"/>
      <c r="I186" s="75"/>
      <c r="J186" s="75"/>
    </row>
    <row r="187" spans="1:10" ht="15.75" customHeight="1">
      <c r="A187" s="75"/>
      <c r="B187" s="75"/>
      <c r="C187" s="75"/>
      <c r="D187" s="75"/>
      <c r="E187" s="75"/>
      <c r="F187" s="75"/>
      <c r="G187" s="75"/>
      <c r="H187" s="75"/>
      <c r="I187" s="75"/>
      <c r="J187" s="75"/>
    </row>
    <row r="188" spans="1:10" ht="15.75" customHeight="1">
      <c r="A188" s="75"/>
      <c r="B188" s="75"/>
      <c r="C188" s="75"/>
      <c r="D188" s="75"/>
      <c r="E188" s="75"/>
      <c r="F188" s="75"/>
      <c r="G188" s="75"/>
      <c r="H188" s="75"/>
      <c r="I188" s="75"/>
      <c r="J188" s="75"/>
    </row>
    <row r="189" spans="1:10" ht="15.75" customHeight="1">
      <c r="A189" s="75"/>
      <c r="B189" s="75"/>
      <c r="C189" s="75"/>
      <c r="D189" s="75"/>
      <c r="E189" s="75"/>
      <c r="F189" s="75"/>
      <c r="G189" s="75"/>
      <c r="H189" s="75"/>
      <c r="I189" s="75"/>
      <c r="J189" s="75"/>
    </row>
    <row r="190" spans="1:10" ht="15.75" customHeight="1">
      <c r="A190" s="75"/>
      <c r="B190" s="75"/>
      <c r="C190" s="75"/>
      <c r="D190" s="75"/>
      <c r="E190" s="75"/>
      <c r="F190" s="75"/>
      <c r="G190" s="75"/>
      <c r="H190" s="75"/>
      <c r="I190" s="75"/>
      <c r="J190" s="75"/>
    </row>
    <row r="191" spans="1:10" ht="15.75" customHeight="1">
      <c r="A191" s="75"/>
      <c r="B191" s="75"/>
      <c r="C191" s="75"/>
      <c r="D191" s="75"/>
      <c r="E191" s="75"/>
      <c r="F191" s="75"/>
      <c r="G191" s="75"/>
      <c r="H191" s="75"/>
      <c r="I191" s="75"/>
      <c r="J191" s="75"/>
    </row>
    <row r="192" spans="1:10" ht="15.75" customHeight="1">
      <c r="A192" s="75"/>
      <c r="B192" s="75"/>
      <c r="C192" s="75"/>
      <c r="D192" s="75"/>
      <c r="E192" s="75"/>
      <c r="F192" s="75"/>
      <c r="G192" s="75"/>
      <c r="H192" s="75"/>
      <c r="I192" s="75"/>
      <c r="J192" s="75"/>
    </row>
    <row r="193" spans="1:10" ht="15.75" customHeight="1">
      <c r="A193" s="75"/>
      <c r="B193" s="75"/>
      <c r="C193" s="75"/>
      <c r="D193" s="75"/>
      <c r="E193" s="75"/>
      <c r="F193" s="75"/>
      <c r="G193" s="75"/>
      <c r="H193" s="75"/>
      <c r="I193" s="75"/>
      <c r="J193" s="75"/>
    </row>
    <row r="194" spans="1:10" ht="15.75" customHeight="1">
      <c r="A194" s="75"/>
      <c r="B194" s="75"/>
      <c r="C194" s="75"/>
      <c r="D194" s="75"/>
      <c r="E194" s="75"/>
      <c r="F194" s="75"/>
      <c r="G194" s="75"/>
      <c r="H194" s="75"/>
      <c r="I194" s="75"/>
      <c r="J194" s="75"/>
    </row>
    <row r="195" spans="1:10" ht="15.75" customHeight="1">
      <c r="A195" s="75"/>
      <c r="B195" s="75"/>
      <c r="C195" s="75"/>
      <c r="D195" s="75"/>
      <c r="E195" s="75"/>
      <c r="F195" s="75"/>
      <c r="G195" s="75"/>
      <c r="H195" s="75"/>
      <c r="I195" s="75"/>
      <c r="J195" s="75"/>
    </row>
    <row r="196" spans="1:10" ht="15.75" customHeight="1">
      <c r="A196" s="75"/>
      <c r="B196" s="75"/>
      <c r="C196" s="75"/>
      <c r="D196" s="75"/>
      <c r="E196" s="75"/>
      <c r="F196" s="75"/>
      <c r="G196" s="75"/>
      <c r="H196" s="75"/>
      <c r="I196" s="75"/>
      <c r="J196" s="75"/>
    </row>
    <row r="197" spans="1:10" ht="15.75" customHeight="1">
      <c r="A197" s="75"/>
      <c r="B197" s="75"/>
      <c r="C197" s="75"/>
      <c r="D197" s="75"/>
      <c r="E197" s="75"/>
      <c r="F197" s="75"/>
      <c r="G197" s="75"/>
      <c r="H197" s="75"/>
      <c r="I197" s="75"/>
      <c r="J197" s="75"/>
    </row>
    <row r="198" spans="1:10" ht="15.75" customHeight="1">
      <c r="A198" s="75"/>
      <c r="B198" s="75"/>
      <c r="C198" s="75"/>
      <c r="D198" s="75"/>
      <c r="E198" s="75"/>
      <c r="F198" s="75"/>
      <c r="G198" s="75"/>
      <c r="H198" s="75"/>
      <c r="I198" s="75"/>
      <c r="J198" s="75"/>
    </row>
    <row r="199" spans="1:10" ht="15.75" customHeight="1">
      <c r="A199" s="75"/>
      <c r="B199" s="75"/>
      <c r="C199" s="75"/>
      <c r="D199" s="75"/>
      <c r="E199" s="75"/>
      <c r="F199" s="75"/>
      <c r="G199" s="75"/>
      <c r="H199" s="75"/>
      <c r="I199" s="75"/>
      <c r="J199" s="75"/>
    </row>
    <row r="200" spans="1:10" ht="15.75" customHeight="1">
      <c r="A200" s="75"/>
      <c r="B200" s="75"/>
      <c r="C200" s="75"/>
      <c r="D200" s="75"/>
      <c r="E200" s="75"/>
      <c r="F200" s="75"/>
      <c r="G200" s="75"/>
      <c r="H200" s="75"/>
      <c r="I200" s="75"/>
      <c r="J200" s="75"/>
    </row>
    <row r="201" spans="1:10" ht="15.75" customHeight="1">
      <c r="A201" s="75"/>
      <c r="B201" s="75"/>
      <c r="C201" s="75"/>
      <c r="D201" s="75"/>
      <c r="E201" s="75"/>
      <c r="F201" s="75"/>
      <c r="G201" s="75"/>
      <c r="H201" s="75"/>
      <c r="I201" s="75"/>
      <c r="J201" s="75"/>
    </row>
    <row r="202" spans="1:10" ht="15.75" customHeight="1">
      <c r="A202" s="75"/>
      <c r="B202" s="75"/>
      <c r="C202" s="75"/>
      <c r="D202" s="75"/>
      <c r="E202" s="75"/>
      <c r="F202" s="75"/>
      <c r="G202" s="75"/>
      <c r="H202" s="75"/>
      <c r="I202" s="75"/>
      <c r="J202" s="75"/>
    </row>
    <row r="203" spans="1:10" ht="15.75" customHeight="1">
      <c r="A203" s="75"/>
      <c r="B203" s="75"/>
      <c r="C203" s="75"/>
      <c r="D203" s="75"/>
      <c r="E203" s="75"/>
      <c r="F203" s="75"/>
      <c r="G203" s="75"/>
      <c r="H203" s="75"/>
      <c r="I203" s="75"/>
      <c r="J203" s="75"/>
    </row>
    <row r="204" spans="1:10" ht="15.75" customHeight="1">
      <c r="A204" s="75"/>
      <c r="B204" s="75"/>
      <c r="C204" s="75"/>
      <c r="D204" s="75"/>
      <c r="E204" s="75"/>
      <c r="F204" s="75"/>
      <c r="G204" s="75"/>
      <c r="H204" s="75"/>
      <c r="I204" s="75"/>
      <c r="J204" s="75"/>
    </row>
    <row r="205" spans="1:10" ht="15.75" customHeight="1">
      <c r="A205" s="75"/>
      <c r="B205" s="75"/>
      <c r="C205" s="75"/>
      <c r="D205" s="75"/>
      <c r="E205" s="75"/>
      <c r="F205" s="75"/>
      <c r="G205" s="75"/>
      <c r="H205" s="75"/>
      <c r="I205" s="75"/>
      <c r="J205" s="75"/>
    </row>
    <row r="206" spans="1:10" ht="15.75" customHeight="1">
      <c r="A206" s="75"/>
      <c r="B206" s="75"/>
      <c r="C206" s="75"/>
      <c r="D206" s="75"/>
      <c r="E206" s="75"/>
      <c r="F206" s="75"/>
      <c r="G206" s="75"/>
      <c r="H206" s="75"/>
      <c r="I206" s="75"/>
      <c r="J206" s="75"/>
    </row>
    <row r="207" spans="1:10" ht="15.75" customHeight="1">
      <c r="A207" s="75"/>
      <c r="B207" s="75"/>
      <c r="C207" s="75"/>
      <c r="D207" s="75"/>
      <c r="E207" s="75"/>
      <c r="F207" s="75"/>
      <c r="G207" s="75"/>
      <c r="H207" s="75"/>
      <c r="I207" s="75"/>
      <c r="J207" s="75"/>
    </row>
    <row r="208" spans="1:10" ht="15.75" customHeight="1">
      <c r="A208" s="75"/>
      <c r="B208" s="75"/>
      <c r="C208" s="75"/>
      <c r="D208" s="75"/>
      <c r="E208" s="75"/>
      <c r="F208" s="75"/>
      <c r="G208" s="75"/>
      <c r="H208" s="75"/>
      <c r="I208" s="75"/>
      <c r="J208" s="75"/>
    </row>
    <row r="209" spans="1:10" ht="15.75" customHeight="1">
      <c r="A209" s="75"/>
      <c r="B209" s="75"/>
      <c r="C209" s="75"/>
      <c r="D209" s="75"/>
      <c r="E209" s="75"/>
      <c r="F209" s="75"/>
      <c r="G209" s="75"/>
      <c r="H209" s="75"/>
      <c r="I209" s="75"/>
      <c r="J209" s="75"/>
    </row>
    <row r="210" spans="1:10" ht="15.75" customHeight="1">
      <c r="A210" s="75"/>
      <c r="B210" s="75"/>
      <c r="C210" s="75"/>
      <c r="D210" s="75"/>
      <c r="E210" s="75"/>
      <c r="F210" s="75"/>
      <c r="G210" s="75"/>
      <c r="H210" s="75"/>
      <c r="I210" s="75"/>
      <c r="J210" s="75"/>
    </row>
    <row r="211" spans="1:10" ht="15.75" customHeight="1">
      <c r="A211" s="75"/>
      <c r="B211" s="75"/>
      <c r="C211" s="75"/>
      <c r="D211" s="75"/>
      <c r="E211" s="75"/>
      <c r="F211" s="75"/>
      <c r="G211" s="75"/>
      <c r="H211" s="75"/>
      <c r="I211" s="75"/>
      <c r="J211" s="75"/>
    </row>
    <row r="212" spans="1:10" ht="15.75" customHeight="1">
      <c r="A212" s="75"/>
      <c r="B212" s="75"/>
      <c r="C212" s="75"/>
      <c r="D212" s="75"/>
      <c r="E212" s="75"/>
      <c r="F212" s="75"/>
      <c r="G212" s="75"/>
      <c r="H212" s="75"/>
      <c r="I212" s="75"/>
      <c r="J212" s="75"/>
    </row>
    <row r="213" spans="1:10" ht="15.75" customHeight="1">
      <c r="A213" s="75"/>
      <c r="B213" s="75"/>
      <c r="C213" s="75"/>
      <c r="D213" s="75"/>
      <c r="E213" s="75"/>
      <c r="F213" s="75"/>
      <c r="G213" s="75"/>
      <c r="H213" s="75"/>
      <c r="I213" s="75"/>
      <c r="J213" s="75"/>
    </row>
    <row r="214" spans="1:10" ht="15.75" customHeight="1">
      <c r="A214" s="75"/>
      <c r="B214" s="75"/>
      <c r="C214" s="75"/>
      <c r="D214" s="75"/>
      <c r="E214" s="75"/>
      <c r="F214" s="75"/>
      <c r="G214" s="75"/>
      <c r="H214" s="75"/>
      <c r="I214" s="75"/>
      <c r="J214" s="75"/>
    </row>
    <row r="215" spans="1:10" ht="15.75" customHeight="1">
      <c r="A215" s="75"/>
      <c r="B215" s="75"/>
      <c r="C215" s="75"/>
      <c r="D215" s="75"/>
      <c r="E215" s="75"/>
      <c r="F215" s="75"/>
      <c r="G215" s="75"/>
      <c r="H215" s="75"/>
      <c r="I215" s="75"/>
      <c r="J215" s="75"/>
    </row>
    <row r="216" spans="1:10" ht="15.75" customHeight="1">
      <c r="A216" s="75"/>
      <c r="B216" s="75"/>
      <c r="C216" s="75"/>
      <c r="D216" s="75"/>
      <c r="E216" s="75"/>
      <c r="F216" s="75"/>
      <c r="G216" s="75"/>
      <c r="H216" s="75"/>
      <c r="I216" s="75"/>
      <c r="J216" s="75"/>
    </row>
    <row r="217" spans="1:10" ht="15.75" customHeight="1">
      <c r="A217" s="75"/>
      <c r="B217" s="75"/>
      <c r="C217" s="75"/>
      <c r="D217" s="75"/>
      <c r="E217" s="75"/>
      <c r="F217" s="75"/>
      <c r="G217" s="75"/>
      <c r="H217" s="75"/>
      <c r="I217" s="75"/>
      <c r="J217" s="75"/>
    </row>
    <row r="218" spans="1:10" ht="15.75" customHeight="1">
      <c r="A218" s="75"/>
      <c r="B218" s="75"/>
      <c r="C218" s="75"/>
      <c r="D218" s="75"/>
      <c r="E218" s="75"/>
      <c r="F218" s="75"/>
      <c r="G218" s="75"/>
      <c r="H218" s="75"/>
      <c r="I218" s="75"/>
      <c r="J218" s="75"/>
    </row>
    <row r="219" spans="1:10" ht="15.75" customHeight="1">
      <c r="A219" s="75"/>
      <c r="B219" s="75"/>
      <c r="C219" s="75"/>
      <c r="D219" s="75"/>
      <c r="E219" s="75"/>
      <c r="F219" s="75"/>
      <c r="G219" s="75"/>
      <c r="H219" s="75"/>
      <c r="I219" s="75"/>
      <c r="J219" s="75"/>
    </row>
    <row r="220" spans="1:10" ht="15.75" customHeight="1">
      <c r="A220" s="75"/>
      <c r="B220" s="75"/>
      <c r="C220" s="75"/>
      <c r="D220" s="75"/>
      <c r="E220" s="75"/>
      <c r="F220" s="75"/>
      <c r="G220" s="75"/>
      <c r="H220" s="75"/>
      <c r="I220" s="75"/>
      <c r="J220" s="75"/>
    </row>
    <row r="221" spans="1:10" ht="15.75" customHeight="1">
      <c r="A221" s="75"/>
      <c r="B221" s="75"/>
      <c r="C221" s="75"/>
      <c r="D221" s="75"/>
      <c r="E221" s="75"/>
      <c r="F221" s="75"/>
      <c r="G221" s="75"/>
      <c r="H221" s="75"/>
      <c r="I221" s="75"/>
      <c r="J221" s="75"/>
    </row>
    <row r="222" spans="1:10" ht="15.75" customHeight="1">
      <c r="A222" s="75"/>
      <c r="B222" s="75"/>
      <c r="C222" s="75"/>
      <c r="D222" s="75"/>
      <c r="E222" s="75"/>
      <c r="F222" s="75"/>
      <c r="G222" s="75"/>
      <c r="H222" s="75"/>
      <c r="I222" s="75"/>
      <c r="J222" s="75"/>
    </row>
    <row r="223" spans="1:10" ht="15.75" customHeight="1">
      <c r="A223" s="75"/>
      <c r="B223" s="75"/>
      <c r="C223" s="75"/>
      <c r="D223" s="75"/>
      <c r="E223" s="75"/>
      <c r="F223" s="75"/>
      <c r="G223" s="75"/>
      <c r="H223" s="75"/>
      <c r="I223" s="75"/>
      <c r="J223" s="75"/>
    </row>
    <row r="224" spans="1:10" ht="15.75" customHeight="1">
      <c r="A224" s="75"/>
      <c r="B224" s="75"/>
      <c r="C224" s="75"/>
      <c r="D224" s="75"/>
      <c r="E224" s="75"/>
      <c r="F224" s="75"/>
      <c r="G224" s="75"/>
      <c r="H224" s="75"/>
      <c r="I224" s="75"/>
      <c r="J224" s="75"/>
    </row>
    <row r="225" spans="1:10" ht="15.75" customHeight="1">
      <c r="A225" s="75"/>
      <c r="B225" s="75"/>
      <c r="C225" s="75"/>
      <c r="D225" s="75"/>
      <c r="E225" s="75"/>
      <c r="F225" s="75"/>
      <c r="G225" s="75"/>
      <c r="H225" s="75"/>
      <c r="I225" s="75"/>
      <c r="J225" s="75"/>
    </row>
    <row r="226" spans="1:10" ht="15.75" customHeight="1">
      <c r="A226" s="75"/>
      <c r="B226" s="75"/>
      <c r="C226" s="75"/>
      <c r="D226" s="75"/>
      <c r="E226" s="75"/>
      <c r="F226" s="75"/>
      <c r="G226" s="75"/>
      <c r="H226" s="75"/>
      <c r="I226" s="75"/>
      <c r="J226" s="75"/>
    </row>
    <row r="227" spans="1:10" ht="15.75" customHeight="1">
      <c r="A227" s="75"/>
      <c r="B227" s="75"/>
      <c r="C227" s="75"/>
      <c r="D227" s="75"/>
      <c r="E227" s="75"/>
      <c r="F227" s="75"/>
      <c r="G227" s="75"/>
      <c r="H227" s="75"/>
      <c r="I227" s="75"/>
      <c r="J227" s="75"/>
    </row>
    <row r="228" spans="1:10" ht="15.75" customHeight="1">
      <c r="A228" s="75"/>
      <c r="B228" s="75"/>
      <c r="C228" s="75"/>
      <c r="D228" s="75"/>
      <c r="E228" s="75"/>
      <c r="F228" s="75"/>
      <c r="G228" s="75"/>
      <c r="H228" s="75"/>
      <c r="I228" s="75"/>
      <c r="J228" s="75"/>
    </row>
    <row r="229" spans="1:10" ht="15.75" customHeight="1">
      <c r="A229" s="75"/>
      <c r="B229" s="75"/>
      <c r="C229" s="75"/>
      <c r="D229" s="75"/>
      <c r="E229" s="75"/>
      <c r="F229" s="75"/>
      <c r="G229" s="75"/>
      <c r="H229" s="75"/>
      <c r="I229" s="75"/>
      <c r="J229" s="75"/>
    </row>
    <row r="230" spans="1:10" ht="15.75" customHeight="1">
      <c r="A230" s="75"/>
      <c r="B230" s="75"/>
      <c r="C230" s="75"/>
      <c r="D230" s="75"/>
      <c r="E230" s="75"/>
      <c r="F230" s="75"/>
      <c r="G230" s="75"/>
      <c r="H230" s="75"/>
      <c r="I230" s="75"/>
      <c r="J230" s="75"/>
    </row>
    <row r="231" spans="1:10" ht="15.75" customHeight="1">
      <c r="A231" s="75"/>
      <c r="B231" s="75"/>
      <c r="C231" s="75"/>
      <c r="D231" s="75"/>
      <c r="E231" s="75"/>
      <c r="F231" s="75"/>
      <c r="G231" s="75"/>
      <c r="H231" s="75"/>
      <c r="I231" s="75"/>
      <c r="J231" s="75"/>
    </row>
    <row r="232" spans="1:10" ht="15.75" customHeight="1">
      <c r="A232" s="75"/>
      <c r="B232" s="75"/>
      <c r="C232" s="75"/>
      <c r="D232" s="75"/>
      <c r="E232" s="75"/>
      <c r="F232" s="75"/>
      <c r="G232" s="75"/>
      <c r="H232" s="75"/>
      <c r="I232" s="75"/>
      <c r="J232" s="75"/>
    </row>
    <row r="233" spans="1:10" ht="15.75" customHeight="1">
      <c r="A233" s="75"/>
      <c r="B233" s="75"/>
      <c r="C233" s="75"/>
      <c r="D233" s="75"/>
      <c r="E233" s="75"/>
      <c r="F233" s="75"/>
      <c r="G233" s="75"/>
      <c r="H233" s="75"/>
      <c r="I233" s="75"/>
      <c r="J233" s="75"/>
    </row>
    <row r="234" spans="1:10" ht="15.75" customHeight="1">
      <c r="A234" s="75"/>
      <c r="B234" s="75"/>
      <c r="C234" s="75"/>
      <c r="D234" s="75"/>
      <c r="E234" s="75"/>
      <c r="F234" s="75"/>
      <c r="G234" s="75"/>
      <c r="H234" s="75"/>
      <c r="I234" s="75"/>
      <c r="J234" s="75"/>
    </row>
    <row r="235" spans="1:10" ht="15.75" customHeight="1">
      <c r="A235" s="75"/>
      <c r="B235" s="75"/>
      <c r="C235" s="75"/>
      <c r="D235" s="75"/>
      <c r="E235" s="75"/>
      <c r="F235" s="75"/>
      <c r="G235" s="75"/>
      <c r="H235" s="75"/>
      <c r="I235" s="75"/>
      <c r="J235" s="75"/>
    </row>
    <row r="236" spans="1:10" ht="15.75" customHeight="1">
      <c r="A236" s="75"/>
      <c r="B236" s="75"/>
      <c r="C236" s="75"/>
      <c r="D236" s="75"/>
      <c r="E236" s="75"/>
      <c r="F236" s="75"/>
      <c r="G236" s="75"/>
      <c r="H236" s="75"/>
      <c r="I236" s="75"/>
      <c r="J236" s="75"/>
    </row>
    <row r="237" spans="1:10" ht="15.75" customHeight="1">
      <c r="A237" s="75"/>
      <c r="B237" s="75"/>
      <c r="C237" s="75"/>
      <c r="D237" s="75"/>
      <c r="E237" s="75"/>
      <c r="F237" s="75"/>
      <c r="G237" s="75"/>
      <c r="H237" s="75"/>
      <c r="I237" s="75"/>
      <c r="J237" s="75"/>
    </row>
    <row r="238" spans="1:10" ht="15.75" customHeight="1">
      <c r="A238" s="75"/>
      <c r="B238" s="75"/>
      <c r="C238" s="75"/>
      <c r="D238" s="75"/>
      <c r="E238" s="75"/>
      <c r="F238" s="75"/>
      <c r="G238" s="75"/>
      <c r="H238" s="75"/>
      <c r="I238" s="75"/>
      <c r="J238" s="75"/>
    </row>
    <row r="239" spans="1:10" ht="15.75" customHeight="1">
      <c r="A239" s="75"/>
      <c r="B239" s="75"/>
      <c r="C239" s="75"/>
      <c r="D239" s="75"/>
      <c r="E239" s="75"/>
      <c r="F239" s="75"/>
      <c r="G239" s="75"/>
      <c r="H239" s="75"/>
      <c r="I239" s="75"/>
      <c r="J239" s="75"/>
    </row>
    <row r="240" spans="1:10" ht="15.75" customHeight="1">
      <c r="A240" s="75"/>
      <c r="B240" s="75"/>
      <c r="C240" s="75"/>
      <c r="D240" s="75"/>
      <c r="E240" s="75"/>
      <c r="F240" s="75"/>
      <c r="G240" s="75"/>
      <c r="H240" s="75"/>
      <c r="I240" s="75"/>
      <c r="J240" s="75"/>
    </row>
    <row r="241" spans="1:10" ht="15.75" customHeight="1">
      <c r="A241" s="75"/>
      <c r="B241" s="75"/>
      <c r="C241" s="75"/>
      <c r="D241" s="75"/>
      <c r="E241" s="75"/>
      <c r="F241" s="75"/>
      <c r="G241" s="75"/>
      <c r="H241" s="75"/>
      <c r="I241" s="75"/>
      <c r="J241" s="75"/>
    </row>
    <row r="242" spans="1:10" ht="15.75" customHeight="1">
      <c r="A242" s="75"/>
      <c r="B242" s="75"/>
      <c r="C242" s="75"/>
      <c r="D242" s="75"/>
      <c r="E242" s="75"/>
      <c r="F242" s="75"/>
      <c r="G242" s="75"/>
      <c r="H242" s="75"/>
      <c r="I242" s="75"/>
      <c r="J242" s="75"/>
    </row>
    <row r="243" spans="1:10" ht="15.75" customHeight="1">
      <c r="A243" s="75"/>
      <c r="B243" s="75"/>
      <c r="C243" s="75"/>
      <c r="D243" s="75"/>
      <c r="E243" s="75"/>
      <c r="F243" s="75"/>
      <c r="G243" s="75"/>
      <c r="H243" s="75"/>
      <c r="I243" s="75"/>
      <c r="J243" s="75"/>
    </row>
    <row r="244" spans="1:10" ht="15.75" customHeight="1">
      <c r="A244" s="75"/>
      <c r="B244" s="75"/>
      <c r="C244" s="75"/>
      <c r="D244" s="75"/>
      <c r="E244" s="75"/>
      <c r="F244" s="75"/>
      <c r="G244" s="75"/>
      <c r="H244" s="75"/>
      <c r="I244" s="75"/>
      <c r="J244" s="75"/>
    </row>
    <row r="245" spans="1:10" ht="15.75" customHeight="1">
      <c r="A245" s="75"/>
      <c r="B245" s="75"/>
      <c r="C245" s="75"/>
      <c r="D245" s="75"/>
      <c r="E245" s="75"/>
      <c r="F245" s="75"/>
      <c r="G245" s="75"/>
      <c r="H245" s="75"/>
      <c r="I245" s="75"/>
      <c r="J245" s="75"/>
    </row>
    <row r="246" spans="1:10" ht="15.75" customHeight="1">
      <c r="A246" s="75"/>
      <c r="B246" s="75"/>
      <c r="C246" s="75"/>
      <c r="D246" s="75"/>
      <c r="E246" s="75"/>
      <c r="F246" s="75"/>
      <c r="G246" s="75"/>
      <c r="H246" s="75"/>
      <c r="I246" s="75"/>
      <c r="J246" s="75"/>
    </row>
    <row r="247" spans="1:10" ht="15.75" customHeight="1">
      <c r="A247" s="75"/>
      <c r="B247" s="75"/>
      <c r="C247" s="75"/>
      <c r="D247" s="75"/>
      <c r="E247" s="75"/>
      <c r="F247" s="75"/>
      <c r="G247" s="75"/>
      <c r="H247" s="75"/>
      <c r="I247" s="75"/>
      <c r="J247" s="75"/>
    </row>
    <row r="248" spans="1:10" ht="15.75" customHeight="1">
      <c r="A248" s="75"/>
      <c r="B248" s="75"/>
      <c r="C248" s="75"/>
      <c r="D248" s="75"/>
      <c r="E248" s="75"/>
      <c r="F248" s="75"/>
      <c r="G248" s="75"/>
      <c r="H248" s="75"/>
      <c r="I248" s="75"/>
      <c r="J248" s="75"/>
    </row>
    <row r="249" spans="1:10" ht="15.75" customHeight="1">
      <c r="A249" s="75"/>
      <c r="B249" s="75"/>
      <c r="C249" s="75"/>
      <c r="D249" s="75"/>
      <c r="E249" s="75"/>
      <c r="F249" s="75"/>
      <c r="G249" s="75"/>
      <c r="H249" s="75"/>
      <c r="I249" s="75"/>
      <c r="J249" s="75"/>
    </row>
    <row r="250" spans="1:10" ht="15.75" customHeight="1">
      <c r="A250" s="75"/>
      <c r="B250" s="75"/>
      <c r="C250" s="75"/>
      <c r="D250" s="75"/>
      <c r="E250" s="75"/>
      <c r="F250" s="75"/>
      <c r="G250" s="75"/>
      <c r="H250" s="75"/>
      <c r="I250" s="75"/>
      <c r="J250" s="75"/>
    </row>
    <row r="251" spans="1:10" ht="15.75" customHeight="1">
      <c r="A251" s="75"/>
      <c r="B251" s="75"/>
      <c r="C251" s="75"/>
      <c r="D251" s="75"/>
      <c r="E251" s="75"/>
      <c r="F251" s="75"/>
      <c r="G251" s="75"/>
      <c r="H251" s="75"/>
      <c r="I251" s="75"/>
      <c r="J251" s="75"/>
    </row>
    <row r="252" spans="1:10" ht="15.75" customHeight="1">
      <c r="A252" s="75"/>
      <c r="B252" s="75"/>
      <c r="C252" s="75"/>
      <c r="D252" s="75"/>
      <c r="E252" s="75"/>
      <c r="F252" s="75"/>
      <c r="G252" s="75"/>
      <c r="H252" s="75"/>
      <c r="I252" s="75"/>
      <c r="J252" s="75"/>
    </row>
    <row r="253" spans="1:10" ht="15.75" customHeight="1">
      <c r="A253" s="75"/>
      <c r="B253" s="75"/>
      <c r="C253" s="75"/>
      <c r="D253" s="75"/>
      <c r="E253" s="75"/>
      <c r="F253" s="75"/>
      <c r="G253" s="75"/>
      <c r="H253" s="75"/>
      <c r="I253" s="75"/>
      <c r="J253" s="75"/>
    </row>
    <row r="254" spans="1:10" ht="15.75" customHeight="1">
      <c r="A254" s="75"/>
      <c r="B254" s="75"/>
      <c r="C254" s="75"/>
      <c r="D254" s="75"/>
      <c r="E254" s="75"/>
      <c r="F254" s="75"/>
      <c r="G254" s="75"/>
      <c r="H254" s="75"/>
      <c r="I254" s="75"/>
      <c r="J254" s="75"/>
    </row>
    <row r="255" spans="1:10" ht="15.75" customHeight="1">
      <c r="A255" s="75"/>
      <c r="B255" s="75"/>
      <c r="C255" s="75"/>
      <c r="D255" s="75"/>
      <c r="E255" s="75"/>
      <c r="F255" s="75"/>
      <c r="G255" s="75"/>
      <c r="H255" s="75"/>
      <c r="I255" s="75"/>
      <c r="J255" s="75"/>
    </row>
    <row r="256" spans="1:10" ht="15.75" customHeight="1">
      <c r="A256" s="75"/>
      <c r="B256" s="75"/>
      <c r="C256" s="75"/>
      <c r="D256" s="75"/>
      <c r="E256" s="75"/>
      <c r="F256" s="75"/>
      <c r="G256" s="75"/>
      <c r="H256" s="75"/>
      <c r="I256" s="75"/>
      <c r="J256" s="75"/>
    </row>
    <row r="257" spans="1:10" ht="15.75" customHeight="1">
      <c r="A257" s="75"/>
      <c r="B257" s="75"/>
      <c r="C257" s="75"/>
      <c r="D257" s="75"/>
      <c r="E257" s="75"/>
      <c r="F257" s="75"/>
      <c r="G257" s="75"/>
      <c r="H257" s="75"/>
      <c r="I257" s="75"/>
      <c r="J257" s="75"/>
    </row>
    <row r="258" spans="1:10" ht="15.75" customHeight="1">
      <c r="A258" s="75"/>
      <c r="B258" s="75"/>
      <c r="C258" s="75"/>
      <c r="D258" s="75"/>
      <c r="E258" s="75"/>
      <c r="F258" s="75"/>
      <c r="G258" s="75"/>
      <c r="H258" s="75"/>
      <c r="I258" s="75"/>
      <c r="J258" s="75"/>
    </row>
    <row r="259" spans="1:10" ht="15.75" customHeight="1">
      <c r="A259" s="75"/>
      <c r="B259" s="75"/>
      <c r="C259" s="75"/>
      <c r="D259" s="75"/>
      <c r="E259" s="75"/>
      <c r="F259" s="75"/>
      <c r="G259" s="75"/>
      <c r="H259" s="75"/>
      <c r="I259" s="75"/>
      <c r="J259" s="75"/>
    </row>
    <row r="260" spans="1:10" ht="15.75" customHeight="1">
      <c r="A260" s="75"/>
      <c r="B260" s="75"/>
      <c r="C260" s="75"/>
      <c r="D260" s="75"/>
      <c r="E260" s="75"/>
      <c r="F260" s="75"/>
      <c r="G260" s="75"/>
      <c r="H260" s="75"/>
      <c r="I260" s="75"/>
      <c r="J260" s="75"/>
    </row>
    <row r="261" spans="1:10" ht="15.75" customHeight="1">
      <c r="A261" s="75"/>
      <c r="B261" s="75"/>
      <c r="C261" s="75"/>
      <c r="D261" s="75"/>
      <c r="E261" s="75"/>
      <c r="F261" s="75"/>
      <c r="G261" s="75"/>
      <c r="H261" s="75"/>
      <c r="I261" s="75"/>
      <c r="J261" s="75"/>
    </row>
    <row r="262" spans="1:10" ht="15.75" customHeight="1">
      <c r="A262" s="75"/>
      <c r="B262" s="75"/>
      <c r="C262" s="75"/>
      <c r="D262" s="75"/>
      <c r="E262" s="75"/>
      <c r="F262" s="75"/>
      <c r="G262" s="75"/>
      <c r="H262" s="75"/>
      <c r="I262" s="75"/>
      <c r="J262" s="75"/>
    </row>
    <row r="263" spans="1:10" ht="15.75" customHeight="1">
      <c r="A263" s="75"/>
      <c r="B263" s="75"/>
      <c r="C263" s="75"/>
      <c r="D263" s="75"/>
      <c r="E263" s="75"/>
      <c r="F263" s="75"/>
      <c r="G263" s="75"/>
      <c r="H263" s="75"/>
      <c r="I263" s="75"/>
      <c r="J263" s="75"/>
    </row>
    <row r="264" spans="1:10" ht="15.75" customHeight="1">
      <c r="A264" s="75"/>
      <c r="B264" s="75"/>
      <c r="C264" s="75"/>
      <c r="D264" s="75"/>
      <c r="E264" s="75"/>
      <c r="F264" s="75"/>
      <c r="G264" s="75"/>
      <c r="H264" s="75"/>
      <c r="I264" s="75"/>
      <c r="J264" s="75"/>
    </row>
    <row r="265" spans="1:10" ht="15.75" customHeight="1">
      <c r="A265" s="75"/>
      <c r="B265" s="75"/>
      <c r="C265" s="75"/>
      <c r="D265" s="75"/>
      <c r="E265" s="75"/>
      <c r="F265" s="75"/>
      <c r="G265" s="75"/>
      <c r="H265" s="75"/>
      <c r="I265" s="75"/>
      <c r="J265" s="75"/>
    </row>
    <row r="266" spans="1:10" ht="15.75" customHeight="1">
      <c r="A266" s="75"/>
      <c r="B266" s="75"/>
      <c r="C266" s="75"/>
      <c r="D266" s="75"/>
      <c r="E266" s="75"/>
      <c r="F266" s="75"/>
      <c r="G266" s="75"/>
      <c r="H266" s="75"/>
      <c r="I266" s="75"/>
      <c r="J266" s="75"/>
    </row>
    <row r="267" spans="1:10" ht="15.75" customHeight="1">
      <c r="A267" s="75"/>
      <c r="B267" s="75"/>
      <c r="C267" s="75"/>
      <c r="D267" s="75"/>
      <c r="E267" s="75"/>
      <c r="F267" s="75"/>
      <c r="G267" s="75"/>
      <c r="H267" s="75"/>
      <c r="I267" s="75"/>
      <c r="J267" s="75"/>
    </row>
    <row r="268" spans="1:10" ht="15.75" customHeight="1">
      <c r="A268" s="75"/>
      <c r="B268" s="75"/>
      <c r="C268" s="75"/>
      <c r="D268" s="75"/>
      <c r="E268" s="75"/>
      <c r="F268" s="75"/>
      <c r="G268" s="75"/>
      <c r="H268" s="75"/>
      <c r="I268" s="75"/>
      <c r="J268" s="75"/>
    </row>
    <row r="269" spans="1:10" ht="15.75" customHeight="1">
      <c r="A269" s="75"/>
      <c r="B269" s="75"/>
      <c r="C269" s="75"/>
      <c r="D269" s="75"/>
      <c r="E269" s="75"/>
      <c r="F269" s="75"/>
      <c r="G269" s="75"/>
      <c r="H269" s="75"/>
      <c r="I269" s="75"/>
      <c r="J269" s="75"/>
    </row>
    <row r="270" spans="1:10" ht="15.75" customHeight="1">
      <c r="A270" s="75"/>
      <c r="B270" s="75"/>
      <c r="C270" s="75"/>
      <c r="D270" s="75"/>
      <c r="E270" s="75"/>
      <c r="F270" s="75"/>
      <c r="G270" s="75"/>
      <c r="H270" s="75"/>
      <c r="I270" s="75"/>
      <c r="J270" s="75"/>
    </row>
    <row r="271" spans="1:10" ht="15.75" customHeight="1">
      <c r="A271" s="75"/>
      <c r="B271" s="75"/>
      <c r="C271" s="75"/>
      <c r="D271" s="75"/>
      <c r="E271" s="75"/>
      <c r="F271" s="75"/>
      <c r="G271" s="75"/>
      <c r="H271" s="75"/>
      <c r="I271" s="75"/>
      <c r="J271" s="75"/>
    </row>
    <row r="272" spans="1:10" ht="15.75" customHeight="1">
      <c r="A272" s="75"/>
      <c r="B272" s="75"/>
      <c r="C272" s="75"/>
      <c r="D272" s="75"/>
      <c r="E272" s="75"/>
      <c r="F272" s="75"/>
      <c r="G272" s="75"/>
      <c r="H272" s="75"/>
      <c r="I272" s="75"/>
      <c r="J272" s="75"/>
    </row>
    <row r="273" spans="1:10" ht="15.75" customHeight="1">
      <c r="A273" s="75"/>
      <c r="B273" s="75"/>
      <c r="C273" s="75"/>
      <c r="D273" s="75"/>
      <c r="E273" s="75"/>
      <c r="F273" s="75"/>
      <c r="G273" s="75"/>
      <c r="H273" s="75"/>
      <c r="I273" s="75"/>
      <c r="J273" s="75"/>
    </row>
    <row r="274" spans="1:10" ht="15.75" customHeight="1">
      <c r="A274" s="75"/>
      <c r="B274" s="75"/>
      <c r="C274" s="75"/>
      <c r="D274" s="75"/>
      <c r="E274" s="75"/>
      <c r="F274" s="75"/>
      <c r="G274" s="75"/>
      <c r="H274" s="75"/>
      <c r="I274" s="75"/>
      <c r="J274" s="75"/>
    </row>
    <row r="275" spans="1:10" ht="15.75" customHeight="1">
      <c r="A275" s="75"/>
      <c r="B275" s="75"/>
      <c r="C275" s="75"/>
      <c r="D275" s="75"/>
      <c r="E275" s="75"/>
      <c r="F275" s="75"/>
      <c r="G275" s="75"/>
      <c r="H275" s="75"/>
      <c r="I275" s="75"/>
      <c r="J275" s="75"/>
    </row>
    <row r="276" spans="1:10" ht="15.75" customHeight="1">
      <c r="A276" s="75"/>
      <c r="B276" s="75"/>
      <c r="C276" s="75"/>
      <c r="D276" s="75"/>
      <c r="E276" s="75"/>
      <c r="F276" s="75"/>
      <c r="G276" s="75"/>
      <c r="H276" s="75"/>
      <c r="I276" s="75"/>
      <c r="J276" s="75"/>
    </row>
    <row r="277" spans="1:10" ht="15.75" customHeight="1">
      <c r="A277" s="75"/>
      <c r="B277" s="75"/>
      <c r="C277" s="75"/>
      <c r="D277" s="75"/>
      <c r="E277" s="75"/>
      <c r="F277" s="75"/>
      <c r="G277" s="75"/>
      <c r="H277" s="75"/>
      <c r="I277" s="75"/>
      <c r="J277" s="75"/>
    </row>
    <row r="278" spans="1:10" ht="15.75" customHeight="1">
      <c r="A278" s="75"/>
      <c r="B278" s="75"/>
      <c r="C278" s="75"/>
      <c r="D278" s="75"/>
      <c r="E278" s="75"/>
      <c r="F278" s="75"/>
      <c r="G278" s="75"/>
      <c r="H278" s="75"/>
      <c r="I278" s="75"/>
      <c r="J278" s="75"/>
    </row>
    <row r="279" spans="1:10" ht="15.75" customHeight="1">
      <c r="A279" s="75"/>
      <c r="B279" s="75"/>
      <c r="C279" s="75"/>
      <c r="D279" s="75"/>
      <c r="E279" s="75"/>
      <c r="F279" s="75"/>
      <c r="G279" s="75"/>
      <c r="H279" s="75"/>
      <c r="I279" s="75"/>
      <c r="J279" s="75"/>
    </row>
    <row r="280" spans="1:10" ht="15.75" customHeight="1">
      <c r="A280" s="75"/>
      <c r="B280" s="75"/>
      <c r="C280" s="75"/>
      <c r="D280" s="75"/>
      <c r="E280" s="75"/>
      <c r="F280" s="75"/>
      <c r="G280" s="75"/>
      <c r="H280" s="75"/>
      <c r="I280" s="75"/>
      <c r="J280" s="75"/>
    </row>
    <row r="281" spans="1:10" ht="15.75" customHeight="1">
      <c r="A281" s="75"/>
      <c r="B281" s="75"/>
      <c r="C281" s="75"/>
      <c r="D281" s="75"/>
      <c r="E281" s="75"/>
      <c r="F281" s="75"/>
      <c r="G281" s="75"/>
      <c r="H281" s="75"/>
      <c r="I281" s="75"/>
      <c r="J281" s="75"/>
    </row>
    <row r="282" spans="1:10" ht="15.75" customHeight="1">
      <c r="A282" s="75"/>
      <c r="B282" s="75"/>
      <c r="C282" s="75"/>
      <c r="D282" s="75"/>
      <c r="E282" s="75"/>
      <c r="F282" s="75"/>
      <c r="G282" s="75"/>
      <c r="H282" s="75"/>
      <c r="I282" s="75"/>
      <c r="J282" s="75"/>
    </row>
    <row r="283" spans="1:10" ht="15.75" customHeight="1">
      <c r="A283" s="75"/>
      <c r="B283" s="75"/>
      <c r="C283" s="75"/>
      <c r="D283" s="75"/>
      <c r="E283" s="75"/>
      <c r="F283" s="75"/>
      <c r="G283" s="75"/>
      <c r="H283" s="75"/>
      <c r="I283" s="75"/>
      <c r="J283" s="75"/>
    </row>
    <row r="284" spans="1:10" ht="15.75" customHeight="1">
      <c r="A284" s="75"/>
      <c r="B284" s="75"/>
      <c r="C284" s="75"/>
      <c r="D284" s="75"/>
      <c r="E284" s="75"/>
      <c r="F284" s="75"/>
      <c r="G284" s="75"/>
      <c r="H284" s="75"/>
      <c r="I284" s="75"/>
      <c r="J284" s="75"/>
    </row>
    <row r="285" spans="1:10" ht="15.75" customHeight="1">
      <c r="A285" s="75"/>
      <c r="B285" s="75"/>
      <c r="C285" s="75"/>
      <c r="D285" s="75"/>
      <c r="E285" s="75"/>
      <c r="F285" s="75"/>
      <c r="G285" s="75"/>
      <c r="H285" s="75"/>
      <c r="I285" s="75"/>
      <c r="J285" s="75"/>
    </row>
    <row r="286" spans="1:10" ht="15.75" customHeight="1">
      <c r="A286" s="75"/>
      <c r="B286" s="75"/>
      <c r="C286" s="75"/>
      <c r="D286" s="75"/>
      <c r="E286" s="75"/>
      <c r="F286" s="75"/>
      <c r="G286" s="75"/>
      <c r="H286" s="75"/>
      <c r="I286" s="75"/>
      <c r="J286" s="75"/>
    </row>
    <row r="287" spans="1:10" ht="15.75" customHeight="1">
      <c r="A287" s="75"/>
      <c r="B287" s="75"/>
      <c r="C287" s="75"/>
      <c r="D287" s="75"/>
      <c r="E287" s="75"/>
      <c r="F287" s="75"/>
      <c r="G287" s="75"/>
      <c r="H287" s="75"/>
      <c r="I287" s="75"/>
      <c r="J287" s="75"/>
    </row>
    <row r="288" spans="1:10" ht="15.75" customHeight="1">
      <c r="A288" s="75"/>
      <c r="B288" s="75"/>
      <c r="C288" s="75"/>
      <c r="D288" s="75"/>
      <c r="E288" s="75"/>
      <c r="F288" s="75"/>
      <c r="G288" s="75"/>
      <c r="H288" s="75"/>
      <c r="I288" s="75"/>
      <c r="J288" s="75"/>
    </row>
    <row r="289" spans="1:10" ht="15.75" customHeight="1">
      <c r="A289" s="75"/>
      <c r="B289" s="75"/>
      <c r="C289" s="75"/>
      <c r="D289" s="75"/>
      <c r="E289" s="75"/>
      <c r="F289" s="75"/>
      <c r="G289" s="75"/>
      <c r="H289" s="75"/>
      <c r="I289" s="75"/>
      <c r="J289" s="75"/>
    </row>
    <row r="290" spans="1:10" ht="15.75" customHeight="1">
      <c r="A290" s="75"/>
      <c r="B290" s="75"/>
      <c r="C290" s="75"/>
      <c r="D290" s="75"/>
      <c r="E290" s="75"/>
      <c r="F290" s="75"/>
      <c r="G290" s="75"/>
      <c r="H290" s="75"/>
      <c r="I290" s="75"/>
      <c r="J290" s="75"/>
    </row>
    <row r="291" spans="1:10" ht="15.75" customHeight="1">
      <c r="A291" s="75"/>
      <c r="B291" s="75"/>
      <c r="C291" s="75"/>
      <c r="D291" s="75"/>
      <c r="E291" s="75"/>
      <c r="F291" s="75"/>
      <c r="G291" s="75"/>
      <c r="H291" s="75"/>
      <c r="I291" s="75"/>
      <c r="J291" s="75"/>
    </row>
    <row r="292" spans="1:10" ht="15.75" customHeight="1">
      <c r="A292" s="75"/>
      <c r="B292" s="75"/>
      <c r="C292" s="75"/>
      <c r="D292" s="75"/>
      <c r="E292" s="75"/>
      <c r="F292" s="75"/>
      <c r="G292" s="75"/>
      <c r="H292" s="75"/>
      <c r="I292" s="75"/>
      <c r="J292" s="75"/>
    </row>
    <row r="293" spans="1:10" ht="15.75" customHeight="1">
      <c r="A293" s="75"/>
      <c r="B293" s="75"/>
      <c r="C293" s="75"/>
      <c r="D293" s="75"/>
      <c r="E293" s="75"/>
      <c r="F293" s="75"/>
      <c r="G293" s="75"/>
      <c r="H293" s="75"/>
      <c r="I293" s="75"/>
      <c r="J293" s="75"/>
    </row>
    <row r="294" spans="1:10" ht="15.75" customHeight="1">
      <c r="A294" s="75"/>
      <c r="B294" s="75"/>
      <c r="C294" s="75"/>
      <c r="D294" s="75"/>
      <c r="E294" s="75"/>
      <c r="F294" s="75"/>
      <c r="G294" s="75"/>
      <c r="H294" s="75"/>
      <c r="I294" s="75"/>
      <c r="J294" s="75"/>
    </row>
    <row r="295" spans="1:10" ht="15.75" customHeight="1">
      <c r="A295" s="75"/>
      <c r="B295" s="75"/>
      <c r="C295" s="75"/>
      <c r="D295" s="75"/>
      <c r="E295" s="75"/>
      <c r="F295" s="75"/>
      <c r="G295" s="75"/>
      <c r="H295" s="75"/>
      <c r="I295" s="75"/>
      <c r="J295" s="75"/>
    </row>
    <row r="296" spans="1:10" ht="15.75" customHeight="1">
      <c r="A296" s="75"/>
      <c r="B296" s="75"/>
      <c r="C296" s="75"/>
      <c r="D296" s="75"/>
      <c r="E296" s="75"/>
      <c r="F296" s="75"/>
      <c r="G296" s="75"/>
      <c r="H296" s="75"/>
      <c r="I296" s="75"/>
      <c r="J296" s="75"/>
    </row>
    <row r="297" spans="1:10" ht="15.75" customHeight="1">
      <c r="A297" s="75"/>
      <c r="B297" s="75"/>
      <c r="C297" s="75"/>
      <c r="D297" s="75"/>
      <c r="E297" s="75"/>
      <c r="F297" s="75"/>
      <c r="G297" s="75"/>
      <c r="H297" s="75"/>
      <c r="I297" s="75"/>
      <c r="J297" s="75"/>
    </row>
    <row r="298" spans="1:10" ht="15.75" customHeight="1">
      <c r="A298" s="75"/>
      <c r="B298" s="75"/>
      <c r="C298" s="75"/>
      <c r="D298" s="75"/>
      <c r="E298" s="75"/>
      <c r="F298" s="75"/>
      <c r="G298" s="75"/>
      <c r="H298" s="75"/>
      <c r="I298" s="75"/>
      <c r="J298" s="75"/>
    </row>
    <row r="299" spans="1:10" ht="15.75" customHeight="1">
      <c r="A299" s="75"/>
      <c r="B299" s="75"/>
      <c r="C299" s="75"/>
      <c r="D299" s="75"/>
      <c r="E299" s="75"/>
      <c r="F299" s="75"/>
      <c r="G299" s="75"/>
      <c r="H299" s="75"/>
      <c r="I299" s="75"/>
      <c r="J299" s="75"/>
    </row>
    <row r="300" spans="1:10" ht="15.75" customHeight="1">
      <c r="A300" s="75"/>
      <c r="B300" s="75"/>
      <c r="C300" s="75"/>
      <c r="D300" s="75"/>
      <c r="E300" s="75"/>
      <c r="F300" s="75"/>
      <c r="G300" s="75"/>
      <c r="H300" s="75"/>
      <c r="I300" s="75"/>
      <c r="J300" s="75"/>
    </row>
    <row r="301" spans="1:10" ht="15.75" customHeight="1">
      <c r="A301" s="75"/>
      <c r="B301" s="75"/>
      <c r="C301" s="75"/>
      <c r="D301" s="75"/>
      <c r="E301" s="75"/>
      <c r="F301" s="75"/>
      <c r="G301" s="75"/>
      <c r="H301" s="75"/>
      <c r="I301" s="75"/>
      <c r="J301" s="75"/>
    </row>
    <row r="302" spans="1:10" ht="15.75" customHeight="1">
      <c r="A302" s="75"/>
      <c r="B302" s="75"/>
      <c r="C302" s="75"/>
      <c r="D302" s="75"/>
      <c r="E302" s="75"/>
      <c r="F302" s="75"/>
      <c r="G302" s="75"/>
      <c r="H302" s="75"/>
      <c r="I302" s="75"/>
      <c r="J302" s="75"/>
    </row>
    <row r="303" spans="1:10" ht="15.75" customHeight="1">
      <c r="A303" s="75"/>
      <c r="B303" s="75"/>
      <c r="C303" s="75"/>
      <c r="D303" s="75"/>
      <c r="E303" s="75"/>
      <c r="F303" s="75"/>
      <c r="G303" s="75"/>
      <c r="H303" s="75"/>
      <c r="I303" s="75"/>
      <c r="J303" s="75"/>
    </row>
    <row r="304" spans="1:10" ht="15.75" customHeight="1">
      <c r="A304" s="75"/>
      <c r="B304" s="75"/>
      <c r="C304" s="75"/>
      <c r="D304" s="75"/>
      <c r="E304" s="75"/>
      <c r="F304" s="75"/>
      <c r="G304" s="75"/>
      <c r="H304" s="75"/>
      <c r="I304" s="75"/>
      <c r="J304" s="75"/>
    </row>
    <row r="305" spans="1:10" ht="15.75" customHeight="1">
      <c r="A305" s="75"/>
      <c r="B305" s="75"/>
      <c r="C305" s="75"/>
      <c r="D305" s="75"/>
      <c r="E305" s="75"/>
      <c r="F305" s="75"/>
      <c r="G305" s="75"/>
      <c r="H305" s="75"/>
      <c r="I305" s="75"/>
      <c r="J305" s="75"/>
    </row>
    <row r="306" spans="1:10" ht="15.75" customHeight="1">
      <c r="A306" s="75"/>
      <c r="B306" s="75"/>
      <c r="C306" s="75"/>
      <c r="D306" s="75"/>
      <c r="E306" s="75"/>
      <c r="F306" s="75"/>
      <c r="G306" s="75"/>
      <c r="H306" s="75"/>
      <c r="I306" s="75"/>
      <c r="J306" s="75"/>
    </row>
    <row r="307" spans="1:10" ht="15.75" customHeight="1">
      <c r="A307" s="75"/>
      <c r="B307" s="75"/>
      <c r="C307" s="75"/>
      <c r="D307" s="75"/>
      <c r="E307" s="75"/>
      <c r="F307" s="75"/>
      <c r="G307" s="75"/>
      <c r="H307" s="75"/>
      <c r="I307" s="75"/>
      <c r="J307" s="75"/>
    </row>
    <row r="308" spans="1:10" ht="15.75" customHeight="1">
      <c r="A308" s="75"/>
      <c r="B308" s="75"/>
      <c r="C308" s="75"/>
      <c r="D308" s="75"/>
      <c r="E308" s="75"/>
      <c r="F308" s="75"/>
      <c r="G308" s="75"/>
      <c r="H308" s="75"/>
      <c r="I308" s="75"/>
      <c r="J308" s="75"/>
    </row>
    <row r="309" spans="1:10" ht="15.75" customHeight="1">
      <c r="A309" s="75"/>
      <c r="B309" s="75"/>
      <c r="C309" s="75"/>
      <c r="D309" s="75"/>
      <c r="E309" s="75"/>
      <c r="F309" s="75"/>
      <c r="G309" s="75"/>
      <c r="H309" s="75"/>
      <c r="I309" s="75"/>
      <c r="J309" s="75"/>
    </row>
    <row r="310" spans="1:10" ht="15.75" customHeight="1">
      <c r="A310" s="75"/>
      <c r="B310" s="75"/>
      <c r="C310" s="75"/>
      <c r="D310" s="75"/>
      <c r="E310" s="75"/>
      <c r="F310" s="75"/>
      <c r="G310" s="75"/>
      <c r="H310" s="75"/>
      <c r="I310" s="75"/>
      <c r="J310" s="75"/>
    </row>
    <row r="311" spans="1:10" ht="15.75" customHeight="1">
      <c r="A311" s="75"/>
      <c r="B311" s="75"/>
      <c r="C311" s="75"/>
      <c r="D311" s="75"/>
      <c r="E311" s="75"/>
      <c r="F311" s="75"/>
      <c r="G311" s="75"/>
      <c r="H311" s="75"/>
      <c r="I311" s="75"/>
      <c r="J311" s="75"/>
    </row>
    <row r="312" spans="1:10" ht="15.75" customHeight="1">
      <c r="A312" s="75"/>
      <c r="B312" s="75"/>
      <c r="C312" s="75"/>
      <c r="D312" s="75"/>
      <c r="E312" s="75"/>
      <c r="F312" s="75"/>
      <c r="G312" s="75"/>
      <c r="H312" s="75"/>
      <c r="I312" s="75"/>
      <c r="J312" s="75"/>
    </row>
    <row r="313" spans="1:10" ht="15.75" customHeight="1">
      <c r="A313" s="75"/>
      <c r="B313" s="75"/>
      <c r="C313" s="75"/>
      <c r="D313" s="75"/>
      <c r="E313" s="75"/>
      <c r="F313" s="75"/>
      <c r="G313" s="75"/>
      <c r="H313" s="75"/>
      <c r="I313" s="75"/>
      <c r="J313" s="75"/>
    </row>
    <row r="314" spans="1:10" ht="15.75" customHeight="1">
      <c r="A314" s="75"/>
      <c r="B314" s="75"/>
      <c r="C314" s="75"/>
      <c r="D314" s="75"/>
      <c r="E314" s="75"/>
      <c r="F314" s="75"/>
      <c r="G314" s="75"/>
      <c r="H314" s="75"/>
      <c r="I314" s="75"/>
      <c r="J314" s="75"/>
    </row>
    <row r="315" spans="1:10" ht="15.75" customHeight="1">
      <c r="A315" s="75"/>
      <c r="B315" s="75"/>
      <c r="C315" s="75"/>
      <c r="D315" s="75"/>
      <c r="E315" s="75"/>
      <c r="F315" s="75"/>
      <c r="G315" s="75"/>
      <c r="H315" s="75"/>
      <c r="I315" s="75"/>
      <c r="J315" s="75"/>
    </row>
    <row r="316" spans="1:10" ht="15.75" customHeight="1">
      <c r="A316" s="75"/>
      <c r="B316" s="75"/>
      <c r="C316" s="75"/>
      <c r="D316" s="75"/>
      <c r="E316" s="75"/>
      <c r="F316" s="75"/>
      <c r="G316" s="75"/>
      <c r="H316" s="75"/>
      <c r="I316" s="75"/>
      <c r="J316" s="75"/>
    </row>
    <row r="317" spans="1:10" ht="15.75" customHeight="1">
      <c r="A317" s="75"/>
      <c r="B317" s="75"/>
      <c r="C317" s="75"/>
      <c r="D317" s="75"/>
      <c r="E317" s="75"/>
      <c r="F317" s="75"/>
      <c r="G317" s="75"/>
      <c r="H317" s="75"/>
      <c r="I317" s="75"/>
      <c r="J317" s="75"/>
    </row>
    <row r="318" spans="1:10" ht="15.75" customHeight="1">
      <c r="A318" s="75"/>
      <c r="B318" s="75"/>
      <c r="C318" s="75"/>
      <c r="D318" s="75"/>
      <c r="E318" s="75"/>
      <c r="F318" s="75"/>
      <c r="G318" s="75"/>
      <c r="H318" s="75"/>
      <c r="I318" s="75"/>
      <c r="J318" s="75"/>
    </row>
    <row r="319" spans="1:10" ht="15.75" customHeight="1">
      <c r="A319" s="75"/>
      <c r="B319" s="75"/>
      <c r="C319" s="75"/>
      <c r="D319" s="75"/>
      <c r="E319" s="75"/>
      <c r="F319" s="75"/>
      <c r="G319" s="75"/>
      <c r="H319" s="75"/>
      <c r="I319" s="75"/>
      <c r="J319" s="75"/>
    </row>
    <row r="320" spans="1:10" ht="15.75" customHeight="1">
      <c r="A320" s="75"/>
      <c r="B320" s="75"/>
      <c r="C320" s="75"/>
      <c r="D320" s="75"/>
      <c r="E320" s="75"/>
      <c r="F320" s="75"/>
      <c r="G320" s="75"/>
      <c r="H320" s="75"/>
      <c r="I320" s="75"/>
      <c r="J320" s="75"/>
    </row>
    <row r="321" spans="1:10" ht="15.75" customHeight="1">
      <c r="A321" s="75"/>
      <c r="B321" s="75"/>
      <c r="C321" s="75"/>
      <c r="D321" s="75"/>
      <c r="E321" s="75"/>
      <c r="F321" s="75"/>
      <c r="G321" s="75"/>
      <c r="H321" s="75"/>
      <c r="I321" s="75"/>
      <c r="J321" s="75"/>
    </row>
    <row r="322" spans="1:10" ht="15.75" customHeight="1">
      <c r="A322" s="75"/>
      <c r="B322" s="75"/>
      <c r="C322" s="75"/>
      <c r="D322" s="75"/>
      <c r="E322" s="75"/>
      <c r="F322" s="75"/>
      <c r="G322" s="75"/>
      <c r="H322" s="75"/>
      <c r="I322" s="75"/>
      <c r="J322" s="75"/>
    </row>
    <row r="323" spans="1:10" ht="15.75" customHeight="1">
      <c r="A323" s="75"/>
      <c r="B323" s="75"/>
      <c r="C323" s="75"/>
      <c r="D323" s="75"/>
      <c r="E323" s="75"/>
      <c r="F323" s="75"/>
      <c r="G323" s="75"/>
      <c r="H323" s="75"/>
      <c r="I323" s="75"/>
      <c r="J323" s="75"/>
    </row>
    <row r="324" spans="1:10" ht="15.75" customHeight="1">
      <c r="A324" s="75"/>
      <c r="B324" s="75"/>
      <c r="C324" s="75"/>
      <c r="D324" s="75"/>
      <c r="E324" s="75"/>
      <c r="F324" s="75"/>
      <c r="G324" s="75"/>
      <c r="H324" s="75"/>
      <c r="I324" s="75"/>
      <c r="J324" s="75"/>
    </row>
    <row r="325" spans="1:10" ht="15.75" customHeight="1">
      <c r="A325" s="75"/>
      <c r="B325" s="75"/>
      <c r="C325" s="75"/>
      <c r="D325" s="75"/>
      <c r="E325" s="75"/>
      <c r="F325" s="75"/>
      <c r="G325" s="75"/>
      <c r="H325" s="75"/>
      <c r="I325" s="75"/>
      <c r="J325" s="75"/>
    </row>
    <row r="326" spans="1:10" ht="15.75" customHeight="1">
      <c r="A326" s="75"/>
      <c r="B326" s="75"/>
      <c r="C326" s="75"/>
      <c r="D326" s="75"/>
      <c r="E326" s="75"/>
      <c r="F326" s="75"/>
      <c r="G326" s="75"/>
      <c r="H326" s="75"/>
      <c r="I326" s="75"/>
      <c r="J326" s="75"/>
    </row>
    <row r="327" spans="1:10" ht="15.75" customHeight="1">
      <c r="A327" s="75"/>
      <c r="B327" s="75"/>
      <c r="C327" s="75"/>
      <c r="D327" s="75"/>
      <c r="E327" s="75"/>
      <c r="F327" s="75"/>
      <c r="G327" s="75"/>
      <c r="H327" s="75"/>
      <c r="I327" s="75"/>
      <c r="J327" s="75"/>
    </row>
    <row r="328" spans="1:10" ht="15.75" customHeight="1">
      <c r="A328" s="75"/>
      <c r="B328" s="75"/>
      <c r="C328" s="75"/>
      <c r="D328" s="75"/>
      <c r="E328" s="75"/>
      <c r="F328" s="75"/>
      <c r="G328" s="75"/>
      <c r="H328" s="75"/>
      <c r="I328" s="75"/>
      <c r="J328" s="75"/>
    </row>
    <row r="329" spans="1:10" ht="15.75" customHeight="1">
      <c r="A329" s="75"/>
      <c r="B329" s="75"/>
      <c r="C329" s="75"/>
      <c r="D329" s="75"/>
      <c r="E329" s="75"/>
      <c r="F329" s="75"/>
      <c r="G329" s="75"/>
      <c r="H329" s="75"/>
      <c r="I329" s="75"/>
      <c r="J329" s="75"/>
    </row>
    <row r="330" spans="1:10" ht="15.75" customHeight="1">
      <c r="A330" s="75"/>
      <c r="B330" s="75"/>
      <c r="C330" s="75"/>
      <c r="D330" s="75"/>
      <c r="E330" s="75"/>
      <c r="F330" s="75"/>
      <c r="G330" s="75"/>
      <c r="H330" s="75"/>
      <c r="I330" s="75"/>
      <c r="J330" s="75"/>
    </row>
    <row r="331" spans="1:10" ht="15.75" customHeight="1">
      <c r="A331" s="75"/>
      <c r="B331" s="75"/>
      <c r="C331" s="75"/>
      <c r="D331" s="75"/>
      <c r="E331" s="75"/>
      <c r="F331" s="75"/>
      <c r="G331" s="75"/>
      <c r="H331" s="75"/>
      <c r="I331" s="75"/>
      <c r="J331" s="75"/>
    </row>
    <row r="332" spans="1:10" ht="15.75" customHeight="1">
      <c r="A332" s="75"/>
      <c r="B332" s="75"/>
      <c r="C332" s="75"/>
      <c r="D332" s="75"/>
      <c r="E332" s="75"/>
      <c r="F332" s="75"/>
      <c r="G332" s="75"/>
      <c r="H332" s="75"/>
      <c r="I332" s="75"/>
      <c r="J332" s="75"/>
    </row>
    <row r="333" spans="1:10" ht="15.75" customHeight="1">
      <c r="A333" s="75"/>
      <c r="B333" s="75"/>
      <c r="C333" s="75"/>
      <c r="D333" s="75"/>
      <c r="E333" s="75"/>
      <c r="F333" s="75"/>
      <c r="G333" s="75"/>
      <c r="H333" s="75"/>
      <c r="I333" s="75"/>
      <c r="J333" s="75"/>
    </row>
    <row r="334" spans="1:10" ht="15.75" customHeight="1">
      <c r="A334" s="75"/>
      <c r="B334" s="75"/>
      <c r="C334" s="75"/>
      <c r="D334" s="75"/>
      <c r="E334" s="75"/>
      <c r="F334" s="75"/>
      <c r="G334" s="75"/>
      <c r="H334" s="75"/>
      <c r="I334" s="75"/>
      <c r="J334" s="75"/>
    </row>
    <row r="335" spans="1:10" ht="15.75" customHeight="1">
      <c r="A335" s="75"/>
      <c r="B335" s="75"/>
      <c r="C335" s="75"/>
      <c r="D335" s="75"/>
      <c r="E335" s="75"/>
      <c r="F335" s="75"/>
      <c r="G335" s="75"/>
      <c r="H335" s="75"/>
      <c r="I335" s="75"/>
      <c r="J335" s="75"/>
    </row>
    <row r="336" spans="1:10" ht="15.75" customHeight="1">
      <c r="A336" s="75"/>
      <c r="B336" s="75"/>
      <c r="C336" s="75"/>
      <c r="D336" s="75"/>
      <c r="E336" s="75"/>
      <c r="F336" s="75"/>
      <c r="G336" s="75"/>
      <c r="H336" s="75"/>
      <c r="I336" s="75"/>
      <c r="J336" s="75"/>
    </row>
    <row r="337" spans="1:10" ht="15.75" customHeight="1">
      <c r="A337" s="75"/>
      <c r="B337" s="75"/>
      <c r="C337" s="75"/>
      <c r="D337" s="75"/>
      <c r="E337" s="75"/>
      <c r="F337" s="75"/>
      <c r="G337" s="75"/>
      <c r="H337" s="75"/>
      <c r="I337" s="75"/>
      <c r="J337" s="75"/>
    </row>
    <row r="338" spans="1:10" ht="15.75" customHeight="1">
      <c r="A338" s="75"/>
      <c r="B338" s="75"/>
      <c r="C338" s="75"/>
      <c r="D338" s="75"/>
      <c r="E338" s="75"/>
      <c r="F338" s="75"/>
      <c r="G338" s="75"/>
      <c r="H338" s="75"/>
      <c r="I338" s="75"/>
      <c r="J338" s="75"/>
    </row>
    <row r="339" spans="1:10" ht="15.75" customHeight="1">
      <c r="A339" s="75"/>
      <c r="B339" s="75"/>
      <c r="C339" s="75"/>
      <c r="D339" s="75"/>
      <c r="E339" s="75"/>
      <c r="F339" s="75"/>
      <c r="G339" s="75"/>
      <c r="H339" s="75"/>
      <c r="I339" s="75"/>
      <c r="J339" s="75"/>
    </row>
    <row r="340" spans="1:10" ht="15.75" customHeight="1">
      <c r="A340" s="75"/>
      <c r="B340" s="75"/>
      <c r="C340" s="75"/>
      <c r="D340" s="75"/>
      <c r="E340" s="75"/>
      <c r="F340" s="75"/>
      <c r="G340" s="75"/>
      <c r="H340" s="75"/>
      <c r="I340" s="75"/>
      <c r="J340" s="75"/>
    </row>
    <row r="341" spans="1:10" ht="15.75" customHeight="1">
      <c r="A341" s="75"/>
      <c r="B341" s="75"/>
      <c r="C341" s="75"/>
      <c r="D341" s="75"/>
      <c r="E341" s="75"/>
      <c r="F341" s="75"/>
      <c r="G341" s="75"/>
      <c r="H341" s="75"/>
      <c r="I341" s="75"/>
      <c r="J341" s="75"/>
    </row>
    <row r="342" spans="1:10" ht="15.75" customHeight="1">
      <c r="A342" s="75"/>
      <c r="B342" s="75"/>
      <c r="C342" s="75"/>
      <c r="D342" s="75"/>
      <c r="E342" s="75"/>
      <c r="F342" s="75"/>
      <c r="G342" s="75"/>
      <c r="H342" s="75"/>
      <c r="I342" s="75"/>
      <c r="J342" s="75"/>
    </row>
    <row r="343" spans="1:10" ht="15.75" customHeight="1">
      <c r="A343" s="75"/>
      <c r="B343" s="75"/>
      <c r="C343" s="75"/>
      <c r="D343" s="75"/>
      <c r="E343" s="75"/>
      <c r="F343" s="75"/>
      <c r="G343" s="75"/>
      <c r="H343" s="75"/>
      <c r="I343" s="75"/>
      <c r="J343" s="75"/>
    </row>
    <row r="344" spans="1:10" ht="15.75" customHeight="1">
      <c r="A344" s="75"/>
      <c r="B344" s="75"/>
      <c r="C344" s="75"/>
      <c r="D344" s="75"/>
      <c r="E344" s="75"/>
      <c r="F344" s="75"/>
      <c r="G344" s="75"/>
      <c r="H344" s="75"/>
      <c r="I344" s="75"/>
      <c r="J344" s="75"/>
    </row>
    <row r="345" spans="1:10" ht="15.75" customHeight="1">
      <c r="A345" s="75"/>
      <c r="B345" s="75"/>
      <c r="C345" s="75"/>
      <c r="D345" s="75"/>
      <c r="E345" s="75"/>
      <c r="F345" s="75"/>
      <c r="G345" s="75"/>
      <c r="H345" s="75"/>
      <c r="I345" s="75"/>
      <c r="J345" s="75"/>
    </row>
    <row r="346" spans="1:10" ht="15.75" customHeight="1">
      <c r="A346" s="75"/>
      <c r="B346" s="75"/>
      <c r="C346" s="75"/>
      <c r="D346" s="75"/>
      <c r="E346" s="75"/>
      <c r="F346" s="75"/>
      <c r="G346" s="75"/>
      <c r="H346" s="75"/>
      <c r="I346" s="75"/>
      <c r="J346" s="75"/>
    </row>
    <row r="347" spans="1:10" ht="15.75" customHeight="1">
      <c r="A347" s="75"/>
      <c r="B347" s="75"/>
      <c r="C347" s="75"/>
      <c r="D347" s="75"/>
      <c r="E347" s="75"/>
      <c r="F347" s="75"/>
      <c r="G347" s="75"/>
      <c r="H347" s="75"/>
      <c r="I347" s="75"/>
      <c r="J347" s="75"/>
    </row>
    <row r="348" spans="1:10" ht="15.75" customHeight="1">
      <c r="A348" s="75"/>
      <c r="B348" s="75"/>
      <c r="C348" s="75"/>
      <c r="D348" s="75"/>
      <c r="E348" s="75"/>
      <c r="F348" s="75"/>
      <c r="G348" s="75"/>
      <c r="H348" s="75"/>
      <c r="I348" s="75"/>
      <c r="J348" s="75"/>
    </row>
    <row r="349" spans="1:10" ht="15.75" customHeight="1">
      <c r="A349" s="75"/>
      <c r="B349" s="75"/>
      <c r="C349" s="75"/>
      <c r="D349" s="75"/>
      <c r="E349" s="75"/>
      <c r="F349" s="75"/>
      <c r="G349" s="75"/>
      <c r="H349" s="75"/>
      <c r="I349" s="75"/>
      <c r="J349" s="75"/>
    </row>
    <row r="350" spans="1:10" ht="15.75" customHeight="1">
      <c r="A350" s="75"/>
      <c r="B350" s="75"/>
      <c r="C350" s="75"/>
      <c r="D350" s="75"/>
      <c r="E350" s="75"/>
      <c r="F350" s="75"/>
      <c r="G350" s="75"/>
      <c r="H350" s="75"/>
      <c r="I350" s="75"/>
      <c r="J350" s="75"/>
    </row>
    <row r="351" spans="1:10" ht="15.75" customHeight="1">
      <c r="A351" s="75"/>
      <c r="B351" s="75"/>
      <c r="C351" s="75"/>
      <c r="D351" s="75"/>
      <c r="E351" s="75"/>
      <c r="F351" s="75"/>
      <c r="G351" s="75"/>
      <c r="H351" s="75"/>
      <c r="I351" s="75"/>
      <c r="J351" s="75"/>
    </row>
    <row r="352" spans="1:10" ht="15.75" customHeight="1">
      <c r="A352" s="75"/>
      <c r="B352" s="75"/>
      <c r="C352" s="75"/>
      <c r="D352" s="75"/>
      <c r="E352" s="75"/>
      <c r="F352" s="75"/>
      <c r="G352" s="75"/>
      <c r="H352" s="75"/>
      <c r="I352" s="75"/>
      <c r="J352" s="75"/>
    </row>
    <row r="353" spans="1:10" ht="15.75" customHeight="1">
      <c r="A353" s="75"/>
      <c r="B353" s="75"/>
      <c r="C353" s="75"/>
      <c r="D353" s="75"/>
      <c r="E353" s="75"/>
      <c r="F353" s="75"/>
      <c r="G353" s="75"/>
      <c r="H353" s="75"/>
      <c r="I353" s="75"/>
      <c r="J353" s="75"/>
    </row>
    <row r="354" spans="1:10" ht="15.75" customHeight="1">
      <c r="A354" s="75"/>
      <c r="B354" s="75"/>
      <c r="C354" s="75"/>
      <c r="D354" s="75"/>
      <c r="E354" s="75"/>
      <c r="F354" s="75"/>
      <c r="G354" s="75"/>
      <c r="H354" s="75"/>
      <c r="I354" s="75"/>
      <c r="J354" s="75"/>
    </row>
    <row r="355" spans="1:10" ht="15.75" customHeight="1">
      <c r="A355" s="75"/>
      <c r="B355" s="75"/>
      <c r="C355" s="75"/>
      <c r="D355" s="75"/>
      <c r="E355" s="75"/>
      <c r="F355" s="75"/>
      <c r="G355" s="75"/>
      <c r="H355" s="75"/>
      <c r="I355" s="75"/>
      <c r="J355" s="75"/>
    </row>
    <row r="356" spans="1:10" ht="15.75" customHeight="1">
      <c r="A356" s="75"/>
      <c r="B356" s="75"/>
      <c r="C356" s="75"/>
      <c r="D356" s="75"/>
      <c r="E356" s="75"/>
      <c r="F356" s="75"/>
      <c r="G356" s="75"/>
      <c r="H356" s="75"/>
      <c r="I356" s="75"/>
      <c r="J356" s="75"/>
    </row>
    <row r="357" spans="1:10" ht="15.75" customHeight="1">
      <c r="A357" s="75"/>
      <c r="B357" s="75"/>
      <c r="C357" s="75"/>
      <c r="D357" s="75"/>
      <c r="E357" s="75"/>
      <c r="F357" s="75"/>
      <c r="G357" s="75"/>
      <c r="H357" s="75"/>
      <c r="I357" s="75"/>
      <c r="J357" s="75"/>
    </row>
    <row r="358" spans="1:10" ht="15.75" customHeight="1">
      <c r="A358" s="75"/>
      <c r="B358" s="75"/>
      <c r="C358" s="75"/>
      <c r="D358" s="75"/>
      <c r="E358" s="75"/>
      <c r="F358" s="75"/>
      <c r="G358" s="75"/>
      <c r="H358" s="75"/>
      <c r="I358" s="75"/>
      <c r="J358" s="75"/>
    </row>
    <row r="359" spans="1:10" ht="15.75" customHeight="1">
      <c r="A359" s="75"/>
      <c r="B359" s="75"/>
      <c r="C359" s="75"/>
      <c r="D359" s="75"/>
      <c r="E359" s="75"/>
      <c r="F359" s="75"/>
      <c r="G359" s="75"/>
      <c r="H359" s="75"/>
      <c r="I359" s="75"/>
      <c r="J359" s="75"/>
    </row>
    <row r="360" spans="1:10" ht="15.75" customHeight="1">
      <c r="A360" s="75"/>
      <c r="B360" s="75"/>
      <c r="C360" s="75"/>
      <c r="D360" s="75"/>
      <c r="E360" s="75"/>
      <c r="F360" s="75"/>
      <c r="G360" s="75"/>
      <c r="H360" s="75"/>
      <c r="I360" s="75"/>
      <c r="J360" s="75"/>
    </row>
    <row r="361" spans="1:10" ht="15.75" customHeight="1">
      <c r="A361" s="75"/>
      <c r="B361" s="75"/>
      <c r="C361" s="75"/>
      <c r="D361" s="75"/>
      <c r="E361" s="75"/>
      <c r="F361" s="75"/>
      <c r="G361" s="75"/>
      <c r="H361" s="75"/>
      <c r="I361" s="75"/>
      <c r="J361" s="75"/>
    </row>
    <row r="362" spans="1:10" ht="15.75" customHeight="1">
      <c r="A362" s="75"/>
      <c r="B362" s="75"/>
      <c r="C362" s="75"/>
      <c r="D362" s="75"/>
      <c r="E362" s="75"/>
      <c r="F362" s="75"/>
      <c r="G362" s="75"/>
      <c r="H362" s="75"/>
      <c r="I362" s="75"/>
      <c r="J362" s="75"/>
    </row>
    <row r="363" spans="1:10" ht="15.75" customHeight="1">
      <c r="A363" s="75"/>
      <c r="B363" s="75"/>
      <c r="C363" s="75"/>
      <c r="D363" s="75"/>
      <c r="E363" s="75"/>
      <c r="F363" s="75"/>
      <c r="G363" s="75"/>
      <c r="H363" s="75"/>
      <c r="I363" s="75"/>
      <c r="J363" s="75"/>
    </row>
    <row r="364" spans="1:10" ht="15.75" customHeight="1">
      <c r="A364" s="75"/>
      <c r="B364" s="75"/>
      <c r="C364" s="75"/>
      <c r="D364" s="75"/>
      <c r="E364" s="75"/>
      <c r="F364" s="75"/>
      <c r="G364" s="75"/>
      <c r="H364" s="75"/>
      <c r="I364" s="75"/>
      <c r="J364" s="75"/>
    </row>
    <row r="365" spans="1:10" ht="15.75" customHeight="1">
      <c r="A365" s="75"/>
      <c r="B365" s="75"/>
      <c r="C365" s="75"/>
      <c r="D365" s="75"/>
      <c r="E365" s="75"/>
      <c r="F365" s="75"/>
      <c r="G365" s="75"/>
      <c r="H365" s="75"/>
      <c r="I365" s="75"/>
      <c r="J365" s="75"/>
    </row>
    <row r="366" spans="1:10" ht="15.75" customHeight="1">
      <c r="A366" s="75"/>
      <c r="B366" s="75"/>
      <c r="C366" s="75"/>
      <c r="D366" s="75"/>
      <c r="E366" s="75"/>
      <c r="F366" s="75"/>
      <c r="G366" s="75"/>
      <c r="H366" s="75"/>
      <c r="I366" s="75"/>
      <c r="J366" s="75"/>
    </row>
    <row r="367" spans="1:10" ht="15.75" customHeight="1">
      <c r="A367" s="75"/>
      <c r="B367" s="75"/>
      <c r="C367" s="75"/>
      <c r="D367" s="75"/>
      <c r="E367" s="75"/>
      <c r="F367" s="75"/>
      <c r="G367" s="75"/>
      <c r="H367" s="75"/>
      <c r="I367" s="75"/>
      <c r="J367" s="75"/>
    </row>
    <row r="368" spans="1:10" ht="15.75" customHeight="1">
      <c r="A368" s="75"/>
      <c r="B368" s="75"/>
      <c r="C368" s="75"/>
      <c r="D368" s="75"/>
      <c r="E368" s="75"/>
      <c r="F368" s="75"/>
      <c r="G368" s="75"/>
      <c r="H368" s="75"/>
      <c r="I368" s="75"/>
      <c r="J368" s="75"/>
    </row>
    <row r="369" spans="1:10" ht="15.75" customHeight="1">
      <c r="A369" s="75"/>
      <c r="B369" s="75"/>
      <c r="C369" s="75"/>
      <c r="D369" s="75"/>
      <c r="E369" s="75"/>
      <c r="F369" s="75"/>
      <c r="G369" s="75"/>
      <c r="H369" s="75"/>
      <c r="I369" s="75"/>
      <c r="J369" s="75"/>
    </row>
    <row r="370" spans="1:10" ht="15.75" customHeight="1">
      <c r="A370" s="75"/>
      <c r="B370" s="75"/>
      <c r="C370" s="75"/>
      <c r="D370" s="75"/>
      <c r="E370" s="75"/>
      <c r="F370" s="75"/>
      <c r="G370" s="75"/>
      <c r="H370" s="75"/>
      <c r="I370" s="75"/>
      <c r="J370" s="75"/>
    </row>
    <row r="371" spans="1:10" ht="15.75" customHeight="1">
      <c r="A371" s="75"/>
      <c r="B371" s="75"/>
      <c r="C371" s="75"/>
      <c r="D371" s="75"/>
      <c r="E371" s="75"/>
      <c r="F371" s="75"/>
      <c r="G371" s="75"/>
      <c r="H371" s="75"/>
      <c r="I371" s="75"/>
      <c r="J371" s="75"/>
    </row>
    <row r="372" spans="1:10" ht="15.75" customHeight="1">
      <c r="A372" s="75"/>
      <c r="B372" s="75"/>
      <c r="C372" s="75"/>
      <c r="D372" s="75"/>
      <c r="E372" s="75"/>
      <c r="F372" s="75"/>
      <c r="G372" s="75"/>
      <c r="H372" s="75"/>
      <c r="I372" s="75"/>
      <c r="J372" s="75"/>
    </row>
    <row r="373" spans="1:10" ht="15.75" customHeight="1">
      <c r="A373" s="75"/>
      <c r="B373" s="75"/>
      <c r="C373" s="75"/>
      <c r="D373" s="75"/>
      <c r="E373" s="75"/>
      <c r="F373" s="75"/>
      <c r="G373" s="75"/>
      <c r="H373" s="75"/>
      <c r="I373" s="75"/>
      <c r="J373" s="75"/>
    </row>
    <row r="374" spans="1:10" ht="15.75" customHeight="1">
      <c r="A374" s="75"/>
      <c r="B374" s="75"/>
      <c r="C374" s="75"/>
      <c r="D374" s="75"/>
      <c r="E374" s="75"/>
      <c r="F374" s="75"/>
      <c r="G374" s="75"/>
      <c r="H374" s="75"/>
      <c r="I374" s="75"/>
      <c r="J374" s="75"/>
    </row>
    <row r="375" spans="1:10" ht="15.75" customHeight="1">
      <c r="A375" s="75"/>
      <c r="B375" s="75"/>
      <c r="C375" s="75"/>
      <c r="D375" s="75"/>
      <c r="E375" s="75"/>
      <c r="F375" s="75"/>
      <c r="G375" s="75"/>
      <c r="H375" s="75"/>
      <c r="I375" s="75"/>
      <c r="J375" s="75"/>
    </row>
    <row r="376" spans="1:10" ht="15.75" customHeight="1">
      <c r="A376" s="75"/>
      <c r="B376" s="75"/>
      <c r="C376" s="75"/>
      <c r="D376" s="75"/>
      <c r="E376" s="75"/>
      <c r="F376" s="75"/>
      <c r="G376" s="75"/>
      <c r="H376" s="75"/>
      <c r="I376" s="75"/>
      <c r="J376" s="75"/>
    </row>
    <row r="377" spans="1:10" ht="15.75" customHeight="1">
      <c r="A377" s="75"/>
      <c r="B377" s="75"/>
      <c r="C377" s="75"/>
      <c r="D377" s="75"/>
      <c r="E377" s="75"/>
      <c r="F377" s="75"/>
      <c r="G377" s="75"/>
      <c r="H377" s="75"/>
      <c r="I377" s="75"/>
      <c r="J377" s="75"/>
    </row>
    <row r="378" spans="1:10" ht="15.75" customHeight="1">
      <c r="A378" s="75"/>
      <c r="B378" s="75"/>
      <c r="C378" s="75"/>
      <c r="D378" s="75"/>
      <c r="E378" s="75"/>
      <c r="F378" s="75"/>
      <c r="G378" s="75"/>
      <c r="H378" s="75"/>
      <c r="I378" s="75"/>
      <c r="J378" s="75"/>
    </row>
    <row r="379" spans="1:10" ht="15.75" customHeight="1">
      <c r="A379" s="75"/>
      <c r="B379" s="75"/>
      <c r="C379" s="75"/>
      <c r="D379" s="75"/>
      <c r="E379" s="75"/>
      <c r="F379" s="75"/>
      <c r="G379" s="75"/>
      <c r="H379" s="75"/>
      <c r="I379" s="75"/>
      <c r="J379" s="75"/>
    </row>
    <row r="380" spans="1:10" ht="15.75" customHeight="1">
      <c r="A380" s="75"/>
      <c r="B380" s="75"/>
      <c r="C380" s="75"/>
      <c r="D380" s="75"/>
      <c r="E380" s="75"/>
      <c r="F380" s="75"/>
      <c r="G380" s="75"/>
      <c r="H380" s="75"/>
      <c r="I380" s="75"/>
      <c r="J380" s="75"/>
    </row>
    <row r="381" spans="1:10" ht="15.75" customHeight="1">
      <c r="A381" s="75"/>
      <c r="B381" s="75"/>
      <c r="C381" s="75"/>
      <c r="D381" s="75"/>
      <c r="E381" s="75"/>
      <c r="F381" s="75"/>
      <c r="G381" s="75"/>
      <c r="H381" s="75"/>
      <c r="I381" s="75"/>
      <c r="J381" s="75"/>
    </row>
    <row r="382" spans="1:10" ht="15.75" customHeight="1">
      <c r="A382" s="75"/>
      <c r="B382" s="75"/>
      <c r="C382" s="75"/>
      <c r="D382" s="75"/>
      <c r="E382" s="75"/>
      <c r="F382" s="75"/>
      <c r="G382" s="75"/>
      <c r="H382" s="75"/>
      <c r="I382" s="75"/>
      <c r="J382" s="75"/>
    </row>
    <row r="383" spans="1:10" ht="15.75" customHeight="1">
      <c r="A383" s="75"/>
      <c r="B383" s="75"/>
      <c r="C383" s="75"/>
      <c r="D383" s="75"/>
      <c r="E383" s="75"/>
      <c r="F383" s="75"/>
      <c r="G383" s="75"/>
      <c r="H383" s="75"/>
      <c r="I383" s="75"/>
      <c r="J383" s="75"/>
    </row>
    <row r="384" spans="1:10" ht="15.75" customHeight="1">
      <c r="A384" s="75"/>
      <c r="B384" s="75"/>
      <c r="C384" s="75"/>
      <c r="D384" s="75"/>
      <c r="E384" s="75"/>
      <c r="F384" s="75"/>
      <c r="G384" s="75"/>
      <c r="H384" s="75"/>
      <c r="I384" s="75"/>
      <c r="J384" s="75"/>
    </row>
    <row r="385" spans="1:10" ht="15.75" customHeight="1">
      <c r="A385" s="75"/>
      <c r="B385" s="75"/>
      <c r="C385" s="75"/>
      <c r="D385" s="75"/>
      <c r="E385" s="75"/>
      <c r="F385" s="75"/>
      <c r="G385" s="75"/>
      <c r="H385" s="75"/>
      <c r="I385" s="75"/>
      <c r="J385" s="75"/>
    </row>
    <row r="386" spans="1:10" ht="15.75" customHeight="1">
      <c r="A386" s="75"/>
      <c r="B386" s="75"/>
      <c r="C386" s="75"/>
      <c r="D386" s="75"/>
      <c r="E386" s="75"/>
      <c r="F386" s="75"/>
      <c r="G386" s="75"/>
      <c r="H386" s="75"/>
      <c r="I386" s="75"/>
      <c r="J386" s="75"/>
    </row>
    <row r="387" spans="1:10" ht="15.75" customHeight="1">
      <c r="A387" s="75"/>
      <c r="B387" s="75"/>
      <c r="C387" s="75"/>
      <c r="D387" s="75"/>
      <c r="E387" s="75"/>
      <c r="F387" s="75"/>
      <c r="G387" s="75"/>
      <c r="H387" s="75"/>
      <c r="I387" s="75"/>
      <c r="J387" s="75"/>
    </row>
    <row r="388" spans="1:10" ht="15.75" customHeight="1">
      <c r="A388" s="75"/>
      <c r="B388" s="75"/>
      <c r="C388" s="75"/>
      <c r="D388" s="75"/>
      <c r="E388" s="75"/>
      <c r="F388" s="75"/>
      <c r="G388" s="75"/>
      <c r="H388" s="75"/>
      <c r="I388" s="75"/>
      <c r="J388" s="75"/>
    </row>
    <row r="389" spans="1:10" ht="15.75" customHeight="1">
      <c r="A389" s="75"/>
      <c r="B389" s="75"/>
      <c r="C389" s="75"/>
      <c r="D389" s="75"/>
      <c r="E389" s="75"/>
      <c r="F389" s="75"/>
      <c r="G389" s="75"/>
      <c r="H389" s="75"/>
      <c r="I389" s="75"/>
      <c r="J389" s="75"/>
    </row>
    <row r="390" spans="1:10" ht="15.75" customHeight="1">
      <c r="A390" s="75"/>
      <c r="B390" s="75"/>
      <c r="C390" s="75"/>
      <c r="D390" s="75"/>
      <c r="E390" s="75"/>
      <c r="F390" s="75"/>
      <c r="G390" s="75"/>
      <c r="H390" s="75"/>
      <c r="I390" s="75"/>
      <c r="J390" s="75"/>
    </row>
    <row r="391" spans="1:10" ht="15.75" customHeight="1">
      <c r="A391" s="75"/>
      <c r="B391" s="75"/>
      <c r="C391" s="75"/>
      <c r="D391" s="75"/>
      <c r="E391" s="75"/>
      <c r="F391" s="75"/>
      <c r="G391" s="75"/>
      <c r="H391" s="75"/>
      <c r="I391" s="75"/>
      <c r="J391" s="75"/>
    </row>
    <row r="392" spans="1:10" ht="15.75" customHeight="1">
      <c r="A392" s="75"/>
      <c r="B392" s="75"/>
      <c r="C392" s="75"/>
      <c r="D392" s="75"/>
      <c r="E392" s="75"/>
      <c r="F392" s="75"/>
      <c r="G392" s="75"/>
      <c r="H392" s="75"/>
      <c r="I392" s="75"/>
      <c r="J392" s="75"/>
    </row>
    <row r="393" spans="1:10" ht="15.75" customHeight="1">
      <c r="A393" s="75"/>
      <c r="B393" s="75"/>
      <c r="C393" s="75"/>
      <c r="D393" s="75"/>
      <c r="E393" s="75"/>
      <c r="F393" s="75"/>
      <c r="G393" s="75"/>
      <c r="H393" s="75"/>
      <c r="I393" s="75"/>
      <c r="J393" s="75"/>
    </row>
    <row r="394" spans="1:10" ht="15.75" customHeight="1">
      <c r="A394" s="75"/>
      <c r="B394" s="75"/>
      <c r="C394" s="75"/>
      <c r="D394" s="75"/>
      <c r="E394" s="75"/>
      <c r="F394" s="75"/>
      <c r="G394" s="75"/>
      <c r="H394" s="75"/>
      <c r="I394" s="75"/>
      <c r="J394" s="75"/>
    </row>
    <row r="395" spans="1:10" ht="15.75" customHeight="1">
      <c r="A395" s="75"/>
      <c r="B395" s="75"/>
      <c r="C395" s="75"/>
      <c r="D395" s="75"/>
      <c r="E395" s="75"/>
      <c r="F395" s="75"/>
      <c r="G395" s="75"/>
      <c r="H395" s="75"/>
      <c r="I395" s="75"/>
      <c r="J395" s="75"/>
    </row>
    <row r="396" spans="1:10" ht="15.75" customHeight="1">
      <c r="A396" s="75"/>
      <c r="B396" s="75"/>
      <c r="C396" s="75"/>
      <c r="D396" s="75"/>
      <c r="E396" s="75"/>
      <c r="F396" s="75"/>
      <c r="G396" s="75"/>
      <c r="H396" s="75"/>
      <c r="I396" s="75"/>
      <c r="J396" s="75"/>
    </row>
    <row r="397" spans="1:10" ht="15.75" customHeight="1">
      <c r="A397" s="75"/>
      <c r="B397" s="75"/>
      <c r="C397" s="75"/>
      <c r="D397" s="75"/>
      <c r="E397" s="75"/>
      <c r="F397" s="75"/>
      <c r="G397" s="75"/>
      <c r="H397" s="75"/>
      <c r="I397" s="75"/>
      <c r="J397" s="75"/>
    </row>
    <row r="398" spans="1:10" ht="15.75" customHeight="1">
      <c r="A398" s="75"/>
      <c r="B398" s="75"/>
      <c r="C398" s="75"/>
      <c r="D398" s="75"/>
      <c r="E398" s="75"/>
      <c r="F398" s="75"/>
      <c r="G398" s="75"/>
      <c r="H398" s="75"/>
      <c r="I398" s="75"/>
      <c r="J398" s="75"/>
    </row>
    <row r="399" spans="1:10" ht="15.75" customHeight="1">
      <c r="A399" s="75"/>
      <c r="B399" s="75"/>
      <c r="C399" s="75"/>
      <c r="D399" s="75"/>
      <c r="E399" s="75"/>
      <c r="F399" s="75"/>
      <c r="G399" s="75"/>
      <c r="H399" s="75"/>
      <c r="I399" s="75"/>
      <c r="J399" s="75"/>
    </row>
    <row r="400" spans="1:10" ht="15.75" customHeight="1">
      <c r="A400" s="75"/>
      <c r="B400" s="75"/>
      <c r="C400" s="75"/>
      <c r="D400" s="75"/>
      <c r="E400" s="75"/>
      <c r="F400" s="75"/>
      <c r="G400" s="75"/>
      <c r="H400" s="75"/>
      <c r="I400" s="75"/>
      <c r="J400" s="75"/>
    </row>
    <row r="401" spans="1:10" ht="15.75" customHeight="1">
      <c r="A401" s="75"/>
      <c r="B401" s="75"/>
      <c r="C401" s="75"/>
      <c r="D401" s="75"/>
      <c r="E401" s="75"/>
      <c r="F401" s="75"/>
      <c r="G401" s="75"/>
      <c r="H401" s="75"/>
      <c r="I401" s="75"/>
      <c r="J401" s="75"/>
    </row>
    <row r="402" spans="1:10" ht="15.75" customHeight="1">
      <c r="A402" s="75"/>
      <c r="B402" s="75"/>
      <c r="C402" s="75"/>
      <c r="D402" s="75"/>
      <c r="E402" s="75"/>
      <c r="F402" s="75"/>
      <c r="G402" s="75"/>
      <c r="H402" s="75"/>
      <c r="I402" s="75"/>
      <c r="J402" s="75"/>
    </row>
    <row r="403" spans="1:10" ht="15.75" customHeight="1">
      <c r="A403" s="75"/>
      <c r="B403" s="75"/>
      <c r="C403" s="75"/>
      <c r="D403" s="75"/>
      <c r="E403" s="75"/>
      <c r="F403" s="75"/>
      <c r="G403" s="75"/>
      <c r="H403" s="75"/>
      <c r="I403" s="75"/>
      <c r="J403" s="75"/>
    </row>
    <row r="404" spans="1:10" ht="15.75" customHeight="1">
      <c r="A404" s="75"/>
      <c r="B404" s="75"/>
      <c r="C404" s="75"/>
      <c r="D404" s="75"/>
      <c r="E404" s="75"/>
      <c r="F404" s="75"/>
      <c r="G404" s="75"/>
      <c r="H404" s="75"/>
      <c r="I404" s="75"/>
      <c r="J404" s="75"/>
    </row>
    <row r="405" spans="1:10" ht="15.75" customHeight="1">
      <c r="A405" s="75"/>
      <c r="B405" s="75"/>
      <c r="C405" s="75"/>
      <c r="D405" s="75"/>
      <c r="E405" s="75"/>
      <c r="F405" s="75"/>
      <c r="G405" s="75"/>
      <c r="H405" s="75"/>
      <c r="I405" s="75"/>
      <c r="J405" s="75"/>
    </row>
    <row r="406" spans="1:10" ht="15.75" customHeight="1">
      <c r="A406" s="75"/>
      <c r="B406" s="75"/>
      <c r="C406" s="75"/>
      <c r="D406" s="75"/>
      <c r="E406" s="75"/>
      <c r="F406" s="75"/>
      <c r="G406" s="75"/>
      <c r="H406" s="75"/>
      <c r="I406" s="75"/>
      <c r="J406" s="75"/>
    </row>
    <row r="407" spans="1:10" ht="15.75" customHeight="1">
      <c r="A407" s="75"/>
      <c r="B407" s="75"/>
      <c r="C407" s="75"/>
      <c r="D407" s="75"/>
      <c r="E407" s="75"/>
      <c r="F407" s="75"/>
      <c r="G407" s="75"/>
      <c r="H407" s="75"/>
      <c r="I407" s="75"/>
      <c r="J407" s="75"/>
    </row>
    <row r="408" spans="1:10" ht="15.75" customHeight="1">
      <c r="A408" s="75"/>
      <c r="B408" s="75"/>
      <c r="C408" s="75"/>
      <c r="D408" s="75"/>
      <c r="E408" s="75"/>
      <c r="F408" s="75"/>
      <c r="G408" s="75"/>
      <c r="H408" s="75"/>
      <c r="I408" s="75"/>
      <c r="J408" s="75"/>
    </row>
    <row r="409" spans="1:10" ht="15.75" customHeight="1">
      <c r="A409" s="75"/>
      <c r="B409" s="75"/>
      <c r="C409" s="75"/>
      <c r="D409" s="75"/>
      <c r="E409" s="75"/>
      <c r="F409" s="75"/>
      <c r="G409" s="75"/>
      <c r="H409" s="75"/>
      <c r="I409" s="75"/>
      <c r="J409" s="75"/>
    </row>
    <row r="410" spans="1:10" ht="15.75" customHeight="1">
      <c r="A410" s="75"/>
      <c r="B410" s="75"/>
      <c r="C410" s="75"/>
      <c r="D410" s="75"/>
      <c r="E410" s="75"/>
      <c r="F410" s="75"/>
      <c r="G410" s="75"/>
      <c r="H410" s="75"/>
      <c r="I410" s="75"/>
      <c r="J410" s="75"/>
    </row>
    <row r="411" spans="1:10" ht="15.75" customHeight="1">
      <c r="A411" s="75"/>
      <c r="B411" s="75"/>
      <c r="C411" s="75"/>
      <c r="D411" s="75"/>
      <c r="E411" s="75"/>
      <c r="F411" s="75"/>
      <c r="G411" s="75"/>
      <c r="H411" s="75"/>
      <c r="I411" s="75"/>
      <c r="J411" s="75"/>
    </row>
    <row r="412" spans="1:10" ht="15.75" customHeight="1">
      <c r="A412" s="75"/>
      <c r="B412" s="75"/>
      <c r="C412" s="75"/>
      <c r="D412" s="75"/>
      <c r="E412" s="75"/>
      <c r="F412" s="75"/>
      <c r="G412" s="75"/>
      <c r="H412" s="75"/>
      <c r="I412" s="75"/>
      <c r="J412" s="75"/>
    </row>
    <row r="413" spans="1:10" ht="15.75" customHeight="1">
      <c r="A413" s="75"/>
      <c r="B413" s="75"/>
      <c r="C413" s="75"/>
      <c r="D413" s="75"/>
      <c r="E413" s="75"/>
      <c r="F413" s="75"/>
      <c r="G413" s="75"/>
      <c r="H413" s="75"/>
      <c r="I413" s="75"/>
      <c r="J413" s="75"/>
    </row>
    <row r="414" spans="1:10" ht="15.75" customHeight="1">
      <c r="A414" s="75"/>
      <c r="B414" s="75"/>
      <c r="C414" s="75"/>
      <c r="D414" s="75"/>
      <c r="E414" s="75"/>
      <c r="F414" s="75"/>
      <c r="G414" s="75"/>
      <c r="H414" s="75"/>
      <c r="I414" s="75"/>
      <c r="J414" s="75"/>
    </row>
    <row r="415" spans="1:10" ht="15.75" customHeight="1">
      <c r="A415" s="75"/>
      <c r="B415" s="75"/>
      <c r="C415" s="75"/>
      <c r="D415" s="75"/>
      <c r="E415" s="75"/>
      <c r="F415" s="75"/>
      <c r="G415" s="75"/>
      <c r="H415" s="75"/>
      <c r="I415" s="75"/>
      <c r="J415" s="75"/>
    </row>
    <row r="416" spans="1:10" ht="15.75" customHeight="1">
      <c r="A416" s="75"/>
      <c r="B416" s="75"/>
      <c r="C416" s="75"/>
      <c r="D416" s="75"/>
      <c r="E416" s="75"/>
      <c r="F416" s="75"/>
      <c r="G416" s="75"/>
      <c r="H416" s="75"/>
      <c r="I416" s="75"/>
      <c r="J416" s="75"/>
    </row>
    <row r="417" spans="1:10" ht="15.75" customHeight="1">
      <c r="A417" s="75"/>
      <c r="B417" s="75"/>
      <c r="C417" s="75"/>
      <c r="D417" s="75"/>
      <c r="E417" s="75"/>
      <c r="F417" s="75"/>
      <c r="G417" s="75"/>
      <c r="H417" s="75"/>
      <c r="I417" s="75"/>
      <c r="J417" s="75"/>
    </row>
    <row r="418" spans="1:10" ht="15.75" customHeight="1">
      <c r="A418" s="75"/>
      <c r="B418" s="75"/>
      <c r="C418" s="75"/>
      <c r="D418" s="75"/>
      <c r="E418" s="75"/>
      <c r="F418" s="75"/>
      <c r="G418" s="75"/>
      <c r="H418" s="75"/>
      <c r="I418" s="75"/>
      <c r="J418" s="75"/>
    </row>
    <row r="419" spans="1:10" ht="15.75" customHeight="1">
      <c r="A419" s="75"/>
      <c r="B419" s="75"/>
      <c r="C419" s="75"/>
      <c r="D419" s="75"/>
      <c r="E419" s="75"/>
      <c r="F419" s="75"/>
      <c r="G419" s="75"/>
      <c r="H419" s="75"/>
      <c r="I419" s="75"/>
      <c r="J419" s="75"/>
    </row>
    <row r="420" spans="1:10" ht="15.75" customHeight="1">
      <c r="A420" s="75"/>
      <c r="B420" s="75"/>
      <c r="C420" s="75"/>
      <c r="D420" s="75"/>
      <c r="E420" s="75"/>
      <c r="F420" s="75"/>
      <c r="G420" s="75"/>
      <c r="H420" s="75"/>
      <c r="I420" s="75"/>
      <c r="J420" s="75"/>
    </row>
    <row r="421" spans="1:10" ht="15.75" customHeight="1">
      <c r="A421" s="75"/>
      <c r="B421" s="75"/>
      <c r="C421" s="75"/>
      <c r="D421" s="75"/>
      <c r="E421" s="75"/>
      <c r="F421" s="75"/>
      <c r="G421" s="75"/>
      <c r="H421" s="75"/>
      <c r="I421" s="75"/>
      <c r="J421" s="75"/>
    </row>
    <row r="422" spans="1:10" ht="15.75" customHeight="1">
      <c r="A422" s="75"/>
      <c r="B422" s="75"/>
      <c r="C422" s="75"/>
      <c r="D422" s="75"/>
      <c r="E422" s="75"/>
      <c r="F422" s="75"/>
      <c r="G422" s="75"/>
      <c r="H422" s="75"/>
      <c r="I422" s="75"/>
      <c r="J422" s="75"/>
    </row>
    <row r="423" spans="1:10" ht="15.75" customHeight="1">
      <c r="A423" s="75"/>
      <c r="B423" s="75"/>
      <c r="C423" s="75"/>
      <c r="D423" s="75"/>
      <c r="E423" s="75"/>
      <c r="F423" s="75"/>
      <c r="G423" s="75"/>
      <c r="H423" s="75"/>
      <c r="I423" s="75"/>
      <c r="J423" s="75"/>
    </row>
    <row r="424" spans="1:10" ht="15.75" customHeight="1">
      <c r="A424" s="75"/>
      <c r="B424" s="75"/>
      <c r="C424" s="75"/>
      <c r="D424" s="75"/>
      <c r="E424" s="75"/>
      <c r="F424" s="75"/>
      <c r="G424" s="75"/>
      <c r="H424" s="75"/>
      <c r="I424" s="75"/>
      <c r="J424" s="75"/>
    </row>
    <row r="425" spans="1:10" ht="15.75" customHeight="1">
      <c r="A425" s="75"/>
      <c r="B425" s="75"/>
      <c r="C425" s="75"/>
      <c r="D425" s="75"/>
      <c r="E425" s="75"/>
      <c r="F425" s="75"/>
      <c r="G425" s="75"/>
      <c r="H425" s="75"/>
      <c r="I425" s="75"/>
      <c r="J425" s="75"/>
    </row>
    <row r="426" spans="1:10" ht="15.75" customHeight="1">
      <c r="A426" s="75"/>
      <c r="B426" s="75"/>
      <c r="C426" s="75"/>
      <c r="D426" s="75"/>
      <c r="E426" s="75"/>
      <c r="F426" s="75"/>
      <c r="G426" s="75"/>
      <c r="H426" s="75"/>
      <c r="I426" s="75"/>
      <c r="J426" s="75"/>
    </row>
    <row r="427" spans="1:10" ht="15.75" customHeight="1">
      <c r="A427" s="75"/>
      <c r="B427" s="75"/>
      <c r="C427" s="75"/>
      <c r="D427" s="75"/>
      <c r="E427" s="75"/>
      <c r="F427" s="75"/>
      <c r="G427" s="75"/>
      <c r="H427" s="75"/>
      <c r="I427" s="75"/>
      <c r="J427" s="75"/>
    </row>
    <row r="428" spans="1:10" ht="15.75" customHeight="1">
      <c r="A428" s="75"/>
      <c r="B428" s="75"/>
      <c r="C428" s="75"/>
      <c r="D428" s="75"/>
      <c r="E428" s="75"/>
      <c r="F428" s="75"/>
      <c r="G428" s="75"/>
      <c r="H428" s="75"/>
      <c r="I428" s="75"/>
      <c r="J428" s="75"/>
    </row>
    <row r="429" spans="1:10" ht="15.75" customHeight="1">
      <c r="A429" s="75"/>
      <c r="B429" s="75"/>
      <c r="C429" s="75"/>
      <c r="D429" s="75"/>
      <c r="E429" s="75"/>
      <c r="F429" s="75"/>
      <c r="G429" s="75"/>
      <c r="H429" s="75"/>
      <c r="I429" s="75"/>
      <c r="J429" s="75"/>
    </row>
    <row r="430" spans="1:10" ht="15.75" customHeight="1">
      <c r="A430" s="75"/>
      <c r="B430" s="75"/>
      <c r="C430" s="75"/>
      <c r="D430" s="75"/>
      <c r="E430" s="75"/>
      <c r="F430" s="75"/>
      <c r="G430" s="75"/>
      <c r="H430" s="75"/>
      <c r="I430" s="75"/>
      <c r="J430" s="75"/>
    </row>
    <row r="431" spans="1:10" ht="15.75" customHeight="1">
      <c r="A431" s="75"/>
      <c r="B431" s="75"/>
      <c r="C431" s="75"/>
      <c r="D431" s="75"/>
      <c r="E431" s="75"/>
      <c r="F431" s="75"/>
      <c r="G431" s="75"/>
      <c r="H431" s="75"/>
      <c r="I431" s="75"/>
      <c r="J431" s="75"/>
    </row>
    <row r="432" spans="1:10" ht="15.75" customHeight="1">
      <c r="A432" s="75"/>
      <c r="B432" s="75"/>
      <c r="C432" s="75"/>
      <c r="D432" s="75"/>
      <c r="E432" s="75"/>
      <c r="F432" s="75"/>
      <c r="G432" s="75"/>
      <c r="H432" s="75"/>
      <c r="I432" s="75"/>
      <c r="J432" s="75"/>
    </row>
    <row r="433" spans="1:10" ht="15.75" customHeight="1">
      <c r="A433" s="75"/>
      <c r="B433" s="75"/>
      <c r="C433" s="75"/>
      <c r="D433" s="75"/>
      <c r="E433" s="75"/>
      <c r="F433" s="75"/>
      <c r="G433" s="75"/>
      <c r="H433" s="75"/>
      <c r="I433" s="75"/>
      <c r="J433" s="75"/>
    </row>
    <row r="434" spans="1:10" ht="15.75" customHeight="1">
      <c r="A434" s="75"/>
      <c r="B434" s="75"/>
      <c r="C434" s="75"/>
      <c r="D434" s="75"/>
      <c r="E434" s="75"/>
      <c r="F434" s="75"/>
      <c r="G434" s="75"/>
      <c r="H434" s="75"/>
      <c r="I434" s="75"/>
      <c r="J434" s="75"/>
    </row>
    <row r="435" spans="1:10" ht="15.75" customHeight="1">
      <c r="A435" s="75"/>
      <c r="B435" s="75"/>
      <c r="C435" s="75"/>
      <c r="D435" s="75"/>
      <c r="E435" s="75"/>
      <c r="F435" s="75"/>
      <c r="G435" s="75"/>
      <c r="H435" s="75"/>
      <c r="I435" s="75"/>
      <c r="J435" s="75"/>
    </row>
    <row r="436" spans="1:10" ht="15.75" customHeight="1">
      <c r="A436" s="75"/>
      <c r="B436" s="75"/>
      <c r="C436" s="75"/>
      <c r="D436" s="75"/>
      <c r="E436" s="75"/>
      <c r="F436" s="75"/>
      <c r="G436" s="75"/>
      <c r="H436" s="75"/>
      <c r="I436" s="75"/>
      <c r="J436" s="75"/>
    </row>
    <row r="437" spans="1:10" ht="15.75" customHeight="1">
      <c r="A437" s="75"/>
      <c r="B437" s="75"/>
      <c r="C437" s="75"/>
      <c r="D437" s="75"/>
      <c r="E437" s="75"/>
      <c r="F437" s="75"/>
      <c r="G437" s="75"/>
      <c r="H437" s="75"/>
      <c r="I437" s="75"/>
      <c r="J437" s="75"/>
    </row>
    <row r="438" spans="1:10" ht="15.75" customHeight="1">
      <c r="A438" s="75"/>
      <c r="B438" s="75"/>
      <c r="C438" s="75"/>
      <c r="D438" s="75"/>
      <c r="E438" s="75"/>
      <c r="F438" s="75"/>
      <c r="G438" s="75"/>
      <c r="H438" s="75"/>
      <c r="I438" s="75"/>
      <c r="J438" s="75"/>
    </row>
    <row r="439" spans="1:10" ht="15.75" customHeight="1">
      <c r="A439" s="75"/>
      <c r="B439" s="75"/>
      <c r="C439" s="75"/>
      <c r="D439" s="75"/>
      <c r="E439" s="75"/>
      <c r="F439" s="75"/>
      <c r="G439" s="75"/>
      <c r="H439" s="75"/>
      <c r="I439" s="75"/>
      <c r="J439" s="75"/>
    </row>
    <row r="440" spans="1:10" ht="15.75" customHeight="1">
      <c r="A440" s="75"/>
      <c r="B440" s="75"/>
      <c r="C440" s="75"/>
      <c r="D440" s="75"/>
      <c r="E440" s="75"/>
      <c r="F440" s="75"/>
      <c r="G440" s="75"/>
      <c r="H440" s="75"/>
      <c r="I440" s="75"/>
      <c r="J440" s="75"/>
    </row>
    <row r="441" spans="1:10" ht="15.75" customHeight="1">
      <c r="A441" s="75"/>
      <c r="B441" s="75"/>
      <c r="C441" s="75"/>
      <c r="D441" s="75"/>
      <c r="E441" s="75"/>
      <c r="F441" s="75"/>
      <c r="G441" s="75"/>
      <c r="H441" s="75"/>
      <c r="I441" s="75"/>
      <c r="J441" s="75"/>
    </row>
    <row r="442" spans="1:10" ht="15.75" customHeight="1">
      <c r="A442" s="75"/>
      <c r="B442" s="75"/>
      <c r="C442" s="75"/>
      <c r="D442" s="75"/>
      <c r="E442" s="75"/>
      <c r="F442" s="75"/>
      <c r="G442" s="75"/>
      <c r="H442" s="75"/>
      <c r="I442" s="75"/>
      <c r="J442" s="75"/>
    </row>
    <row r="443" spans="1:10" ht="15.75" customHeight="1">
      <c r="A443" s="75"/>
      <c r="B443" s="75"/>
      <c r="C443" s="75"/>
      <c r="D443" s="75"/>
      <c r="E443" s="75"/>
      <c r="F443" s="75"/>
      <c r="G443" s="75"/>
      <c r="H443" s="75"/>
      <c r="I443" s="75"/>
      <c r="J443" s="75"/>
    </row>
    <row r="444" spans="1:10" ht="15.75" customHeight="1">
      <c r="A444" s="75"/>
      <c r="B444" s="75"/>
      <c r="C444" s="75"/>
      <c r="D444" s="75"/>
      <c r="E444" s="75"/>
      <c r="F444" s="75"/>
      <c r="G444" s="75"/>
      <c r="H444" s="75"/>
      <c r="I444" s="75"/>
      <c r="J444" s="75"/>
    </row>
    <row r="445" spans="1:10" ht="15.75" customHeight="1">
      <c r="A445" s="75"/>
      <c r="B445" s="75"/>
      <c r="C445" s="75"/>
      <c r="D445" s="75"/>
      <c r="E445" s="75"/>
      <c r="F445" s="75"/>
      <c r="G445" s="75"/>
      <c r="H445" s="75"/>
      <c r="I445" s="75"/>
      <c r="J445" s="75"/>
    </row>
    <row r="446" spans="1:10" ht="15.75" customHeight="1">
      <c r="A446" s="75"/>
      <c r="B446" s="75"/>
      <c r="C446" s="75"/>
      <c r="D446" s="75"/>
      <c r="E446" s="75"/>
      <c r="F446" s="75"/>
      <c r="G446" s="75"/>
      <c r="H446" s="75"/>
      <c r="I446" s="75"/>
      <c r="J446" s="75"/>
    </row>
    <row r="447" spans="1:10" ht="15.75" customHeight="1">
      <c r="A447" s="75"/>
      <c r="B447" s="75"/>
      <c r="C447" s="75"/>
      <c r="D447" s="75"/>
      <c r="E447" s="75"/>
      <c r="F447" s="75"/>
      <c r="G447" s="75"/>
      <c r="H447" s="75"/>
      <c r="I447" s="75"/>
      <c r="J447" s="75"/>
    </row>
    <row r="448" spans="1:10" ht="15.75" customHeight="1">
      <c r="A448" s="75"/>
      <c r="B448" s="75"/>
      <c r="C448" s="75"/>
      <c r="D448" s="75"/>
      <c r="E448" s="75"/>
      <c r="F448" s="75"/>
      <c r="G448" s="75"/>
      <c r="H448" s="75"/>
      <c r="I448" s="75"/>
      <c r="J448" s="75"/>
    </row>
    <row r="449" spans="1:10" ht="15.75" customHeight="1">
      <c r="A449" s="75"/>
      <c r="B449" s="75"/>
      <c r="C449" s="75"/>
      <c r="D449" s="75"/>
      <c r="E449" s="75"/>
      <c r="F449" s="75"/>
      <c r="G449" s="75"/>
      <c r="H449" s="75"/>
      <c r="I449" s="75"/>
      <c r="J449" s="75"/>
    </row>
    <row r="450" spans="1:10" ht="15.75" customHeight="1">
      <c r="A450" s="75"/>
      <c r="B450" s="75"/>
      <c r="C450" s="75"/>
      <c r="D450" s="75"/>
      <c r="E450" s="75"/>
      <c r="F450" s="75"/>
      <c r="G450" s="75"/>
      <c r="H450" s="75"/>
      <c r="I450" s="75"/>
      <c r="J450" s="75"/>
    </row>
    <row r="451" spans="1:10" ht="15.75" customHeight="1">
      <c r="A451" s="75"/>
      <c r="B451" s="75"/>
      <c r="C451" s="75"/>
      <c r="D451" s="75"/>
      <c r="E451" s="75"/>
      <c r="F451" s="75"/>
      <c r="G451" s="75"/>
      <c r="H451" s="75"/>
      <c r="I451" s="75"/>
      <c r="J451" s="75"/>
    </row>
    <row r="452" spans="1:10" ht="15.75" customHeight="1">
      <c r="A452" s="75"/>
      <c r="B452" s="75"/>
      <c r="C452" s="75"/>
      <c r="D452" s="75"/>
      <c r="E452" s="75"/>
      <c r="F452" s="75"/>
      <c r="G452" s="75"/>
      <c r="H452" s="75"/>
      <c r="I452" s="75"/>
      <c r="J452" s="75"/>
    </row>
    <row r="453" spans="1:10" ht="15.75" customHeight="1">
      <c r="A453" s="75"/>
      <c r="B453" s="75"/>
      <c r="C453" s="75"/>
      <c r="D453" s="75"/>
      <c r="E453" s="75"/>
      <c r="F453" s="75"/>
      <c r="G453" s="75"/>
      <c r="H453" s="75"/>
      <c r="I453" s="75"/>
      <c r="J453" s="75"/>
    </row>
    <row r="454" spans="1:10" ht="15.75" customHeight="1">
      <c r="A454" s="75"/>
      <c r="B454" s="75"/>
      <c r="C454" s="75"/>
      <c r="D454" s="75"/>
      <c r="E454" s="75"/>
      <c r="F454" s="75"/>
      <c r="G454" s="75"/>
      <c r="H454" s="75"/>
      <c r="I454" s="75"/>
      <c r="J454" s="75"/>
    </row>
    <row r="455" spans="1:10" ht="15.75" customHeight="1">
      <c r="A455" s="75"/>
      <c r="B455" s="75"/>
      <c r="C455" s="75"/>
      <c r="D455" s="75"/>
      <c r="E455" s="75"/>
      <c r="F455" s="75"/>
      <c r="G455" s="75"/>
      <c r="H455" s="75"/>
      <c r="I455" s="75"/>
      <c r="J455" s="75"/>
    </row>
    <row r="456" spans="1:10" ht="15.75" customHeight="1">
      <c r="A456" s="75"/>
      <c r="B456" s="75"/>
      <c r="C456" s="75"/>
      <c r="D456" s="75"/>
      <c r="E456" s="75"/>
      <c r="F456" s="75"/>
      <c r="G456" s="75"/>
      <c r="H456" s="75"/>
      <c r="I456" s="75"/>
      <c r="J456" s="75"/>
    </row>
    <row r="457" spans="1:10" ht="15.75" customHeight="1">
      <c r="A457" s="75"/>
      <c r="B457" s="75"/>
      <c r="C457" s="75"/>
      <c r="D457" s="75"/>
      <c r="E457" s="75"/>
      <c r="F457" s="75"/>
      <c r="G457" s="75"/>
      <c r="H457" s="75"/>
      <c r="I457" s="75"/>
      <c r="J457" s="75"/>
    </row>
    <row r="458" spans="1:10" ht="15.75" customHeight="1">
      <c r="A458" s="75"/>
      <c r="B458" s="75"/>
      <c r="C458" s="75"/>
      <c r="D458" s="75"/>
      <c r="E458" s="75"/>
      <c r="F458" s="75"/>
      <c r="G458" s="75"/>
      <c r="H458" s="75"/>
      <c r="I458" s="75"/>
      <c r="J458" s="75"/>
    </row>
    <row r="459" spans="1:10" ht="15.75" customHeight="1">
      <c r="A459" s="75"/>
      <c r="B459" s="75"/>
      <c r="C459" s="75"/>
      <c r="D459" s="75"/>
      <c r="E459" s="75"/>
      <c r="F459" s="75"/>
      <c r="G459" s="75"/>
      <c r="H459" s="75"/>
      <c r="I459" s="75"/>
      <c r="J459" s="75"/>
    </row>
    <row r="460" spans="1:10" ht="15.75" customHeight="1">
      <c r="A460" s="75"/>
      <c r="B460" s="75"/>
      <c r="C460" s="75"/>
      <c r="D460" s="75"/>
      <c r="E460" s="75"/>
      <c r="F460" s="75"/>
      <c r="G460" s="75"/>
      <c r="H460" s="75"/>
      <c r="I460" s="75"/>
      <c r="J460" s="75"/>
    </row>
    <row r="461" spans="1:10" ht="15.75" customHeight="1">
      <c r="A461" s="75"/>
      <c r="B461" s="75"/>
      <c r="C461" s="75"/>
      <c r="D461" s="75"/>
      <c r="E461" s="75"/>
      <c r="F461" s="75"/>
      <c r="G461" s="75"/>
      <c r="H461" s="75"/>
      <c r="I461" s="75"/>
      <c r="J461" s="75"/>
    </row>
    <row r="462" spans="1:10" ht="15.75" customHeight="1">
      <c r="A462" s="75"/>
      <c r="B462" s="75"/>
      <c r="C462" s="75"/>
      <c r="D462" s="75"/>
      <c r="E462" s="75"/>
      <c r="F462" s="75"/>
      <c r="G462" s="75"/>
      <c r="H462" s="75"/>
      <c r="I462" s="75"/>
      <c r="J462" s="75"/>
    </row>
    <row r="463" spans="1:10" ht="15.75" customHeight="1">
      <c r="A463" s="75"/>
      <c r="B463" s="75"/>
      <c r="C463" s="75"/>
      <c r="D463" s="75"/>
      <c r="E463" s="75"/>
      <c r="F463" s="75"/>
      <c r="G463" s="75"/>
      <c r="H463" s="75"/>
      <c r="I463" s="75"/>
      <c r="J463" s="75"/>
    </row>
    <row r="464" spans="1:10" ht="15.75" customHeight="1">
      <c r="A464" s="75"/>
      <c r="B464" s="75"/>
      <c r="C464" s="75"/>
      <c r="D464" s="75"/>
      <c r="E464" s="75"/>
      <c r="F464" s="75"/>
      <c r="G464" s="75"/>
      <c r="H464" s="75"/>
      <c r="I464" s="75"/>
      <c r="J464" s="75"/>
    </row>
    <row r="465" spans="1:10" ht="15.75" customHeight="1">
      <c r="A465" s="75"/>
      <c r="B465" s="75"/>
      <c r="C465" s="75"/>
      <c r="D465" s="75"/>
      <c r="E465" s="75"/>
      <c r="F465" s="75"/>
      <c r="G465" s="75"/>
      <c r="H465" s="75"/>
      <c r="I465" s="75"/>
      <c r="J465" s="75"/>
    </row>
    <row r="466" spans="1:10" ht="15.75" customHeight="1">
      <c r="A466" s="75"/>
      <c r="B466" s="75"/>
      <c r="C466" s="75"/>
      <c r="D466" s="75"/>
      <c r="E466" s="75"/>
      <c r="F466" s="75"/>
      <c r="G466" s="75"/>
      <c r="H466" s="75"/>
      <c r="I466" s="75"/>
      <c r="J466" s="75"/>
    </row>
    <row r="467" spans="1:10" ht="15.75" customHeight="1">
      <c r="A467" s="75"/>
      <c r="B467" s="75"/>
      <c r="C467" s="75"/>
      <c r="D467" s="75"/>
      <c r="E467" s="75"/>
      <c r="F467" s="75"/>
      <c r="G467" s="75"/>
      <c r="H467" s="75"/>
      <c r="I467" s="75"/>
      <c r="J467" s="75"/>
    </row>
    <row r="468" spans="1:10" ht="15.75" customHeight="1">
      <c r="A468" s="75"/>
      <c r="B468" s="75"/>
      <c r="C468" s="75"/>
      <c r="D468" s="75"/>
      <c r="E468" s="75"/>
      <c r="F468" s="75"/>
      <c r="G468" s="75"/>
      <c r="H468" s="75"/>
      <c r="I468" s="75"/>
      <c r="J468" s="75"/>
    </row>
    <row r="469" spans="1:10" ht="15.75" customHeight="1">
      <c r="A469" s="75"/>
      <c r="B469" s="75"/>
      <c r="C469" s="75"/>
      <c r="D469" s="75"/>
      <c r="E469" s="75"/>
      <c r="F469" s="75"/>
      <c r="G469" s="75"/>
      <c r="H469" s="75"/>
      <c r="I469" s="75"/>
      <c r="J469" s="75"/>
    </row>
    <row r="470" spans="1:10" ht="15.75" customHeight="1">
      <c r="A470" s="75"/>
      <c r="B470" s="75"/>
      <c r="C470" s="75"/>
      <c r="D470" s="75"/>
      <c r="E470" s="75"/>
      <c r="F470" s="75"/>
      <c r="G470" s="75"/>
      <c r="H470" s="75"/>
      <c r="I470" s="75"/>
      <c r="J470" s="75"/>
    </row>
    <row r="471" spans="1:10" ht="15.75" customHeight="1">
      <c r="A471" s="75"/>
      <c r="B471" s="75"/>
      <c r="C471" s="75"/>
      <c r="D471" s="75"/>
      <c r="E471" s="75"/>
      <c r="F471" s="75"/>
      <c r="G471" s="75"/>
      <c r="H471" s="75"/>
      <c r="I471" s="75"/>
      <c r="J471" s="75"/>
    </row>
    <row r="472" spans="1:10" ht="15.75" customHeight="1">
      <c r="A472" s="75"/>
      <c r="B472" s="75"/>
      <c r="C472" s="75"/>
      <c r="D472" s="75"/>
      <c r="E472" s="75"/>
      <c r="F472" s="75"/>
      <c r="G472" s="75"/>
      <c r="H472" s="75"/>
      <c r="I472" s="75"/>
      <c r="J472" s="75"/>
    </row>
    <row r="473" spans="1:10" ht="15.75" customHeight="1">
      <c r="A473" s="75"/>
      <c r="B473" s="75"/>
      <c r="C473" s="75"/>
      <c r="D473" s="75"/>
      <c r="E473" s="75"/>
      <c r="F473" s="75"/>
      <c r="G473" s="75"/>
      <c r="H473" s="75"/>
      <c r="I473" s="75"/>
      <c r="J473" s="75"/>
    </row>
    <row r="474" spans="1:10" ht="15.75" customHeight="1">
      <c r="A474" s="75"/>
      <c r="B474" s="75"/>
      <c r="C474" s="75"/>
      <c r="D474" s="75"/>
      <c r="E474" s="75"/>
      <c r="F474" s="75"/>
      <c r="G474" s="75"/>
      <c r="H474" s="75"/>
      <c r="I474" s="75"/>
      <c r="J474" s="75"/>
    </row>
    <row r="475" spans="1:10" ht="15.75" customHeight="1">
      <c r="A475" s="75"/>
      <c r="B475" s="75"/>
      <c r="C475" s="75"/>
      <c r="D475" s="75"/>
      <c r="E475" s="75"/>
      <c r="F475" s="75"/>
      <c r="G475" s="75"/>
      <c r="H475" s="75"/>
      <c r="I475" s="75"/>
      <c r="J475" s="75"/>
    </row>
    <row r="476" spans="1:10" ht="15.75" customHeight="1">
      <c r="A476" s="75"/>
      <c r="B476" s="75"/>
      <c r="C476" s="75"/>
      <c r="D476" s="75"/>
      <c r="E476" s="75"/>
      <c r="F476" s="75"/>
      <c r="G476" s="75"/>
      <c r="H476" s="75"/>
      <c r="I476" s="75"/>
      <c r="J476" s="75"/>
    </row>
    <row r="477" spans="1:10" ht="15.75" customHeight="1">
      <c r="A477" s="75"/>
      <c r="B477" s="75"/>
      <c r="C477" s="75"/>
      <c r="D477" s="75"/>
      <c r="E477" s="75"/>
      <c r="F477" s="75"/>
      <c r="G477" s="75"/>
      <c r="H477" s="75"/>
      <c r="I477" s="75"/>
      <c r="J477" s="75"/>
    </row>
    <row r="478" spans="1:10" ht="15.75" customHeight="1">
      <c r="A478" s="75"/>
      <c r="B478" s="75"/>
      <c r="C478" s="75"/>
      <c r="D478" s="75"/>
      <c r="E478" s="75"/>
      <c r="F478" s="75"/>
      <c r="G478" s="75"/>
      <c r="H478" s="75"/>
      <c r="I478" s="75"/>
      <c r="J478" s="75"/>
    </row>
    <row r="479" spans="1:10" ht="15.75" customHeight="1">
      <c r="A479" s="75"/>
      <c r="B479" s="75"/>
      <c r="C479" s="75"/>
      <c r="D479" s="75"/>
      <c r="E479" s="75"/>
      <c r="F479" s="75"/>
      <c r="G479" s="75"/>
      <c r="H479" s="75"/>
      <c r="I479" s="75"/>
      <c r="J479" s="75"/>
    </row>
    <row r="480" spans="1:10" ht="15.75" customHeight="1">
      <c r="A480" s="75"/>
      <c r="B480" s="75"/>
      <c r="C480" s="75"/>
      <c r="D480" s="75"/>
      <c r="E480" s="75"/>
      <c r="F480" s="75"/>
      <c r="G480" s="75"/>
      <c r="H480" s="75"/>
      <c r="I480" s="75"/>
      <c r="J480" s="75"/>
    </row>
    <row r="481" spans="1:10" ht="15.75" customHeight="1">
      <c r="A481" s="75"/>
      <c r="B481" s="75"/>
      <c r="C481" s="75"/>
      <c r="D481" s="75"/>
      <c r="E481" s="75"/>
      <c r="F481" s="75"/>
      <c r="G481" s="75"/>
      <c r="H481" s="75"/>
      <c r="I481" s="75"/>
      <c r="J481" s="75"/>
    </row>
    <row r="482" spans="1:10" ht="15.75" customHeight="1">
      <c r="A482" s="75"/>
      <c r="B482" s="75"/>
      <c r="C482" s="75"/>
      <c r="D482" s="75"/>
      <c r="E482" s="75"/>
      <c r="F482" s="75"/>
      <c r="G482" s="75"/>
      <c r="H482" s="75"/>
      <c r="I482" s="75"/>
      <c r="J482" s="75"/>
    </row>
    <row r="483" spans="1:10" ht="15.75" customHeight="1">
      <c r="A483" s="75"/>
      <c r="B483" s="75"/>
      <c r="C483" s="75"/>
      <c r="D483" s="75"/>
      <c r="E483" s="75"/>
      <c r="F483" s="75"/>
      <c r="G483" s="75"/>
      <c r="H483" s="75"/>
      <c r="I483" s="75"/>
      <c r="J483" s="75"/>
    </row>
    <row r="484" spans="1:10" ht="15.75" customHeight="1">
      <c r="A484" s="75"/>
      <c r="B484" s="75"/>
      <c r="C484" s="75"/>
      <c r="D484" s="75"/>
      <c r="E484" s="75"/>
      <c r="F484" s="75"/>
      <c r="G484" s="75"/>
      <c r="H484" s="75"/>
      <c r="I484" s="75"/>
      <c r="J484" s="75"/>
    </row>
    <row r="485" spans="1:10" ht="15.75" customHeight="1">
      <c r="A485" s="75"/>
      <c r="B485" s="75"/>
      <c r="C485" s="75"/>
      <c r="D485" s="75"/>
      <c r="E485" s="75"/>
      <c r="F485" s="75"/>
      <c r="G485" s="75"/>
      <c r="H485" s="75"/>
      <c r="I485" s="75"/>
      <c r="J485" s="75"/>
    </row>
    <row r="486" spans="1:10" ht="15.75" customHeight="1">
      <c r="A486" s="75"/>
      <c r="B486" s="75"/>
      <c r="C486" s="75"/>
      <c r="D486" s="75"/>
      <c r="E486" s="75"/>
      <c r="F486" s="75"/>
      <c r="G486" s="75"/>
      <c r="H486" s="75"/>
      <c r="I486" s="75"/>
      <c r="J486" s="75"/>
    </row>
    <row r="487" spans="1:10" ht="15.75" customHeight="1">
      <c r="A487" s="75"/>
      <c r="B487" s="75"/>
      <c r="C487" s="75"/>
      <c r="D487" s="75"/>
      <c r="E487" s="75"/>
      <c r="F487" s="75"/>
      <c r="G487" s="75"/>
      <c r="H487" s="75"/>
      <c r="I487" s="75"/>
      <c r="J487" s="75"/>
    </row>
    <row r="488" spans="1:10" ht="15.75" customHeight="1">
      <c r="A488" s="75"/>
      <c r="B488" s="75"/>
      <c r="C488" s="75"/>
      <c r="D488" s="75"/>
      <c r="E488" s="75"/>
      <c r="F488" s="75"/>
      <c r="G488" s="75"/>
      <c r="H488" s="75"/>
      <c r="I488" s="75"/>
      <c r="J488" s="75"/>
    </row>
    <row r="489" spans="1:10" ht="15.75" customHeight="1">
      <c r="A489" s="75"/>
      <c r="B489" s="75"/>
      <c r="C489" s="75"/>
      <c r="D489" s="75"/>
      <c r="E489" s="75"/>
      <c r="F489" s="75"/>
      <c r="G489" s="75"/>
      <c r="H489" s="75"/>
      <c r="I489" s="75"/>
      <c r="J489" s="75"/>
    </row>
    <row r="490" spans="1:10" ht="15.75" customHeight="1">
      <c r="A490" s="75"/>
      <c r="B490" s="75"/>
      <c r="C490" s="75"/>
      <c r="D490" s="75"/>
      <c r="E490" s="75"/>
      <c r="F490" s="75"/>
      <c r="G490" s="75"/>
      <c r="H490" s="75"/>
      <c r="I490" s="75"/>
      <c r="J490" s="75"/>
    </row>
    <row r="491" spans="1:10" ht="15.75" customHeight="1">
      <c r="A491" s="75"/>
      <c r="B491" s="75"/>
      <c r="C491" s="75"/>
      <c r="D491" s="75"/>
      <c r="E491" s="75"/>
      <c r="F491" s="75"/>
      <c r="G491" s="75"/>
      <c r="H491" s="75"/>
      <c r="I491" s="75"/>
      <c r="J491" s="75"/>
    </row>
    <row r="492" spans="1:10" ht="15.75" customHeight="1">
      <c r="A492" s="75"/>
      <c r="B492" s="75"/>
      <c r="C492" s="75"/>
      <c r="D492" s="75"/>
      <c r="E492" s="75"/>
      <c r="F492" s="75"/>
      <c r="G492" s="75"/>
      <c r="H492" s="75"/>
      <c r="I492" s="75"/>
      <c r="J492" s="75"/>
    </row>
    <row r="493" spans="1:10" ht="15.75" customHeight="1">
      <c r="A493" s="75"/>
      <c r="B493" s="75"/>
      <c r="C493" s="75"/>
      <c r="D493" s="75"/>
      <c r="E493" s="75"/>
      <c r="F493" s="75"/>
      <c r="G493" s="75"/>
      <c r="H493" s="75"/>
      <c r="I493" s="75"/>
      <c r="J493" s="75"/>
    </row>
    <row r="494" spans="1:10" ht="15.75" customHeight="1">
      <c r="A494" s="75"/>
      <c r="B494" s="75"/>
      <c r="C494" s="75"/>
      <c r="D494" s="75"/>
      <c r="E494" s="75"/>
      <c r="F494" s="75"/>
      <c r="G494" s="75"/>
      <c r="H494" s="75"/>
      <c r="I494" s="75"/>
      <c r="J494" s="75"/>
    </row>
    <row r="495" spans="1:10" ht="15.75" customHeight="1">
      <c r="A495" s="75"/>
      <c r="B495" s="75"/>
      <c r="C495" s="75"/>
      <c r="D495" s="75"/>
      <c r="E495" s="75"/>
      <c r="F495" s="75"/>
      <c r="G495" s="75"/>
      <c r="H495" s="75"/>
      <c r="I495" s="75"/>
      <c r="J495" s="75"/>
    </row>
    <row r="496" spans="1:10" ht="15.75" customHeight="1">
      <c r="A496" s="75"/>
      <c r="B496" s="75"/>
      <c r="C496" s="75"/>
      <c r="D496" s="75"/>
      <c r="E496" s="75"/>
      <c r="F496" s="75"/>
      <c r="G496" s="75"/>
      <c r="H496" s="75"/>
      <c r="I496" s="75"/>
      <c r="J496" s="75"/>
    </row>
    <row r="497" spans="1:10" ht="15.75" customHeight="1">
      <c r="A497" s="75"/>
      <c r="B497" s="75"/>
      <c r="C497" s="75"/>
      <c r="D497" s="75"/>
      <c r="E497" s="75"/>
      <c r="F497" s="75"/>
      <c r="G497" s="75"/>
      <c r="H497" s="75"/>
      <c r="I497" s="75"/>
      <c r="J497" s="75"/>
    </row>
    <row r="498" spans="1:10" ht="15.75" customHeight="1">
      <c r="A498" s="75"/>
      <c r="B498" s="75"/>
      <c r="C498" s="75"/>
      <c r="D498" s="75"/>
      <c r="E498" s="75"/>
      <c r="F498" s="75"/>
      <c r="G498" s="75"/>
      <c r="H498" s="75"/>
      <c r="I498" s="75"/>
      <c r="J498" s="75"/>
    </row>
    <row r="499" spans="1:10" ht="15.75" customHeight="1">
      <c r="A499" s="75"/>
      <c r="B499" s="75"/>
      <c r="C499" s="75"/>
      <c r="D499" s="75"/>
      <c r="E499" s="75"/>
      <c r="F499" s="75"/>
      <c r="G499" s="75"/>
      <c r="H499" s="75"/>
      <c r="I499" s="75"/>
      <c r="J499" s="75"/>
    </row>
    <row r="500" spans="1:10" ht="15.75" customHeight="1">
      <c r="A500" s="75"/>
      <c r="B500" s="75"/>
      <c r="C500" s="75"/>
      <c r="D500" s="75"/>
      <c r="E500" s="75"/>
      <c r="F500" s="75"/>
      <c r="G500" s="75"/>
      <c r="H500" s="75"/>
      <c r="I500" s="75"/>
      <c r="J500" s="75"/>
    </row>
    <row r="501" spans="1:10" ht="15.75" customHeight="1">
      <c r="A501" s="75"/>
      <c r="B501" s="75"/>
      <c r="C501" s="75"/>
      <c r="D501" s="75"/>
      <c r="E501" s="75"/>
      <c r="F501" s="75"/>
      <c r="G501" s="75"/>
      <c r="H501" s="75"/>
      <c r="I501" s="75"/>
      <c r="J501" s="75"/>
    </row>
    <row r="502" spans="1:10" ht="15.75" customHeight="1">
      <c r="A502" s="75"/>
      <c r="B502" s="75"/>
      <c r="C502" s="75"/>
      <c r="D502" s="75"/>
      <c r="E502" s="75"/>
      <c r="F502" s="75"/>
      <c r="G502" s="75"/>
      <c r="H502" s="75"/>
      <c r="I502" s="75"/>
      <c r="J502" s="75"/>
    </row>
    <row r="503" spans="1:10" ht="15.75" customHeight="1">
      <c r="A503" s="75"/>
      <c r="B503" s="75"/>
      <c r="C503" s="75"/>
      <c r="D503" s="75"/>
      <c r="E503" s="75"/>
      <c r="F503" s="75"/>
      <c r="G503" s="75"/>
      <c r="H503" s="75"/>
      <c r="I503" s="75"/>
      <c r="J503" s="75"/>
    </row>
    <row r="504" spans="1:10" ht="15.75" customHeight="1">
      <c r="A504" s="75"/>
      <c r="B504" s="75"/>
      <c r="C504" s="75"/>
      <c r="D504" s="75"/>
      <c r="E504" s="75"/>
      <c r="F504" s="75"/>
      <c r="G504" s="75"/>
      <c r="H504" s="75"/>
      <c r="I504" s="75"/>
      <c r="J504" s="75"/>
    </row>
    <row r="505" spans="1:10" ht="15.75" customHeight="1">
      <c r="A505" s="75"/>
      <c r="B505" s="75"/>
      <c r="C505" s="75"/>
      <c r="D505" s="75"/>
      <c r="E505" s="75"/>
      <c r="F505" s="75"/>
      <c r="G505" s="75"/>
      <c r="H505" s="75"/>
      <c r="I505" s="75"/>
      <c r="J505" s="75"/>
    </row>
    <row r="506" spans="1:10" ht="15.75" customHeight="1">
      <c r="A506" s="75"/>
      <c r="B506" s="75"/>
      <c r="C506" s="75"/>
      <c r="D506" s="75"/>
      <c r="E506" s="75"/>
      <c r="F506" s="75"/>
      <c r="G506" s="75"/>
      <c r="H506" s="75"/>
      <c r="I506" s="75"/>
      <c r="J506" s="75"/>
    </row>
    <row r="507" spans="1:10" ht="15.75" customHeight="1">
      <c r="A507" s="75"/>
      <c r="B507" s="75"/>
      <c r="C507" s="75"/>
      <c r="D507" s="75"/>
      <c r="E507" s="75"/>
      <c r="F507" s="75"/>
      <c r="G507" s="75"/>
      <c r="H507" s="75"/>
      <c r="I507" s="75"/>
      <c r="J507" s="75"/>
    </row>
    <row r="508" spans="1:10" ht="15.75" customHeight="1">
      <c r="A508" s="75"/>
      <c r="B508" s="75"/>
      <c r="C508" s="75"/>
      <c r="D508" s="75"/>
      <c r="E508" s="75"/>
      <c r="F508" s="75"/>
      <c r="G508" s="75"/>
      <c r="H508" s="75"/>
      <c r="I508" s="75"/>
      <c r="J508" s="75"/>
    </row>
    <row r="509" spans="1:10" ht="15.75" customHeight="1">
      <c r="A509" s="75"/>
      <c r="B509" s="75"/>
      <c r="C509" s="75"/>
      <c r="D509" s="75"/>
      <c r="E509" s="75"/>
      <c r="F509" s="75"/>
      <c r="G509" s="75"/>
      <c r="H509" s="75"/>
      <c r="I509" s="75"/>
      <c r="J509" s="75"/>
    </row>
    <row r="510" spans="1:10" ht="15.75" customHeight="1">
      <c r="A510" s="75"/>
      <c r="B510" s="75"/>
      <c r="C510" s="75"/>
      <c r="D510" s="75"/>
      <c r="E510" s="75"/>
      <c r="F510" s="75"/>
      <c r="G510" s="75"/>
      <c r="H510" s="75"/>
      <c r="I510" s="75"/>
      <c r="J510" s="75"/>
    </row>
    <row r="511" spans="1:10" ht="15.75" customHeight="1">
      <c r="A511" s="75"/>
      <c r="B511" s="75"/>
      <c r="C511" s="75"/>
      <c r="D511" s="75"/>
      <c r="E511" s="75"/>
      <c r="F511" s="75"/>
      <c r="G511" s="75"/>
      <c r="H511" s="75"/>
      <c r="I511" s="75"/>
      <c r="J511" s="75"/>
    </row>
    <row r="512" spans="1:10" ht="15.75" customHeight="1">
      <c r="A512" s="75"/>
      <c r="B512" s="75"/>
      <c r="C512" s="75"/>
      <c r="D512" s="75"/>
      <c r="E512" s="75"/>
      <c r="F512" s="75"/>
      <c r="G512" s="75"/>
      <c r="H512" s="75"/>
      <c r="I512" s="75"/>
      <c r="J512" s="75"/>
    </row>
    <row r="513" spans="1:10" ht="15.75" customHeight="1">
      <c r="A513" s="75"/>
      <c r="B513" s="75"/>
      <c r="C513" s="75"/>
      <c r="D513" s="75"/>
      <c r="E513" s="75"/>
      <c r="F513" s="75"/>
      <c r="G513" s="75"/>
      <c r="H513" s="75"/>
      <c r="I513" s="75"/>
      <c r="J513" s="75"/>
    </row>
    <row r="514" spans="1:10" ht="15.75" customHeight="1">
      <c r="A514" s="75"/>
      <c r="B514" s="75"/>
      <c r="C514" s="75"/>
      <c r="D514" s="75"/>
      <c r="E514" s="75"/>
      <c r="F514" s="75"/>
      <c r="G514" s="75"/>
      <c r="H514" s="75"/>
      <c r="I514" s="75"/>
      <c r="J514" s="75"/>
    </row>
    <row r="515" spans="1:10" ht="15.75" customHeight="1">
      <c r="A515" s="75"/>
      <c r="B515" s="75"/>
      <c r="C515" s="75"/>
      <c r="D515" s="75"/>
      <c r="E515" s="75"/>
      <c r="F515" s="75"/>
      <c r="G515" s="75"/>
      <c r="H515" s="75"/>
      <c r="I515" s="75"/>
      <c r="J515" s="75"/>
    </row>
    <row r="516" spans="1:10" ht="15.75" customHeight="1">
      <c r="A516" s="75"/>
      <c r="B516" s="75"/>
      <c r="C516" s="75"/>
      <c r="D516" s="75"/>
      <c r="E516" s="75"/>
      <c r="F516" s="75"/>
      <c r="G516" s="75"/>
      <c r="H516" s="75"/>
      <c r="I516" s="75"/>
      <c r="J516" s="75"/>
    </row>
    <row r="517" spans="1:10" ht="15.75" customHeight="1">
      <c r="A517" s="75"/>
      <c r="B517" s="75"/>
      <c r="C517" s="75"/>
      <c r="D517" s="75"/>
      <c r="E517" s="75"/>
      <c r="F517" s="75"/>
      <c r="G517" s="75"/>
      <c r="H517" s="75"/>
      <c r="I517" s="75"/>
      <c r="J517" s="75"/>
    </row>
    <row r="518" spans="1:10" ht="15.75" customHeight="1">
      <c r="A518" s="75"/>
      <c r="B518" s="75"/>
      <c r="C518" s="75"/>
      <c r="D518" s="75"/>
      <c r="E518" s="75"/>
      <c r="F518" s="75"/>
      <c r="G518" s="75"/>
      <c r="H518" s="75"/>
      <c r="I518" s="75"/>
      <c r="J518" s="75"/>
    </row>
    <row r="519" spans="1:10" ht="15.75" customHeight="1">
      <c r="A519" s="75"/>
      <c r="B519" s="75"/>
      <c r="C519" s="75"/>
      <c r="D519" s="75"/>
      <c r="E519" s="75"/>
      <c r="F519" s="75"/>
      <c r="G519" s="75"/>
      <c r="H519" s="75"/>
      <c r="I519" s="75"/>
      <c r="J519" s="75"/>
    </row>
    <row r="520" spans="1:10" ht="15.75" customHeight="1">
      <c r="A520" s="75"/>
      <c r="B520" s="75"/>
      <c r="C520" s="75"/>
      <c r="D520" s="75"/>
      <c r="E520" s="75"/>
      <c r="F520" s="75"/>
      <c r="G520" s="75"/>
      <c r="H520" s="75"/>
      <c r="I520" s="75"/>
      <c r="J520" s="75"/>
    </row>
    <row r="521" spans="1:10" ht="15.75" customHeight="1">
      <c r="A521" s="75"/>
      <c r="B521" s="75"/>
      <c r="C521" s="75"/>
      <c r="D521" s="75"/>
      <c r="E521" s="75"/>
      <c r="F521" s="75"/>
      <c r="G521" s="75"/>
      <c r="H521" s="75"/>
      <c r="I521" s="75"/>
      <c r="J521" s="75"/>
    </row>
    <row r="522" spans="1:10" ht="15.75" customHeight="1">
      <c r="A522" s="75"/>
      <c r="B522" s="75"/>
      <c r="C522" s="75"/>
      <c r="D522" s="75"/>
      <c r="E522" s="75"/>
      <c r="F522" s="75"/>
      <c r="G522" s="75"/>
      <c r="H522" s="75"/>
      <c r="I522" s="75"/>
      <c r="J522" s="75"/>
    </row>
    <row r="523" spans="1:10" ht="15.75" customHeight="1">
      <c r="A523" s="75"/>
      <c r="B523" s="75"/>
      <c r="C523" s="75"/>
      <c r="D523" s="75"/>
      <c r="E523" s="75"/>
      <c r="F523" s="75"/>
      <c r="G523" s="75"/>
      <c r="H523" s="75"/>
      <c r="I523" s="75"/>
      <c r="J523" s="75"/>
    </row>
    <row r="524" spans="1:10" ht="15.75" customHeight="1">
      <c r="A524" s="75"/>
      <c r="B524" s="75"/>
      <c r="C524" s="75"/>
      <c r="D524" s="75"/>
      <c r="E524" s="75"/>
      <c r="F524" s="75"/>
      <c r="G524" s="75"/>
      <c r="H524" s="75"/>
      <c r="I524" s="75"/>
      <c r="J524" s="75"/>
    </row>
    <row r="525" spans="1:10" ht="15.75" customHeight="1">
      <c r="A525" s="75"/>
      <c r="B525" s="75"/>
      <c r="C525" s="75"/>
      <c r="D525" s="75"/>
      <c r="E525" s="75"/>
      <c r="F525" s="75"/>
      <c r="G525" s="75"/>
      <c r="H525" s="75"/>
      <c r="I525" s="75"/>
      <c r="J525" s="75"/>
    </row>
    <row r="526" spans="1:10" ht="15.75" customHeight="1">
      <c r="A526" s="75"/>
      <c r="B526" s="75"/>
      <c r="C526" s="75"/>
      <c r="D526" s="75"/>
      <c r="E526" s="75"/>
      <c r="F526" s="75"/>
      <c r="G526" s="75"/>
      <c r="H526" s="75"/>
      <c r="I526" s="75"/>
      <c r="J526" s="75"/>
    </row>
    <row r="527" spans="1:10" ht="15.75" customHeight="1">
      <c r="A527" s="75"/>
      <c r="B527" s="75"/>
      <c r="C527" s="75"/>
      <c r="D527" s="75"/>
      <c r="E527" s="75"/>
      <c r="F527" s="75"/>
      <c r="G527" s="75"/>
      <c r="H527" s="75"/>
      <c r="I527" s="75"/>
      <c r="J527" s="75"/>
    </row>
    <row r="528" spans="1:10" ht="15.75" customHeight="1">
      <c r="A528" s="75"/>
      <c r="B528" s="75"/>
      <c r="C528" s="75"/>
      <c r="D528" s="75"/>
      <c r="E528" s="75"/>
      <c r="F528" s="75"/>
      <c r="G528" s="75"/>
      <c r="H528" s="75"/>
      <c r="I528" s="75"/>
      <c r="J528" s="75"/>
    </row>
    <row r="529" spans="1:10" ht="15.75" customHeight="1">
      <c r="A529" s="75"/>
      <c r="B529" s="75"/>
      <c r="C529" s="75"/>
      <c r="D529" s="75"/>
      <c r="E529" s="75"/>
      <c r="F529" s="75"/>
      <c r="G529" s="75"/>
      <c r="H529" s="75"/>
      <c r="I529" s="75"/>
      <c r="J529" s="75"/>
    </row>
    <row r="530" spans="1:10" ht="15.75" customHeight="1">
      <c r="A530" s="75"/>
      <c r="B530" s="75"/>
      <c r="C530" s="75"/>
      <c r="D530" s="75"/>
      <c r="E530" s="75"/>
      <c r="F530" s="75"/>
      <c r="G530" s="75"/>
      <c r="H530" s="75"/>
      <c r="I530" s="75"/>
      <c r="J530" s="75"/>
    </row>
    <row r="531" spans="1:10" ht="15.75" customHeight="1">
      <c r="A531" s="75"/>
      <c r="B531" s="75"/>
      <c r="C531" s="75"/>
      <c r="D531" s="75"/>
      <c r="E531" s="75"/>
      <c r="F531" s="75"/>
      <c r="G531" s="75"/>
      <c r="H531" s="75"/>
      <c r="I531" s="75"/>
      <c r="J531" s="75"/>
    </row>
    <row r="532" spans="1:10" ht="15.75" customHeight="1">
      <c r="A532" s="75"/>
      <c r="B532" s="75"/>
      <c r="C532" s="75"/>
      <c r="D532" s="75"/>
      <c r="E532" s="75"/>
      <c r="F532" s="75"/>
      <c r="G532" s="75"/>
      <c r="H532" s="75"/>
      <c r="I532" s="75"/>
      <c r="J532" s="75"/>
    </row>
    <row r="533" spans="1:10" ht="15.75" customHeight="1">
      <c r="A533" s="75"/>
      <c r="B533" s="75"/>
      <c r="C533" s="75"/>
      <c r="D533" s="75"/>
      <c r="E533" s="75"/>
      <c r="F533" s="75"/>
      <c r="G533" s="75"/>
      <c r="H533" s="75"/>
      <c r="I533" s="75"/>
      <c r="J533" s="75"/>
    </row>
    <row r="534" spans="1:10" ht="15.75" customHeight="1">
      <c r="A534" s="75"/>
      <c r="B534" s="75"/>
      <c r="C534" s="75"/>
      <c r="D534" s="75"/>
      <c r="E534" s="75"/>
      <c r="F534" s="75"/>
      <c r="G534" s="75"/>
      <c r="H534" s="75"/>
      <c r="I534" s="75"/>
      <c r="J534" s="75"/>
    </row>
    <row r="535" spans="1:10" ht="15.75" customHeight="1">
      <c r="A535" s="75"/>
      <c r="B535" s="75"/>
      <c r="C535" s="75"/>
      <c r="D535" s="75"/>
      <c r="E535" s="75"/>
      <c r="F535" s="75"/>
      <c r="G535" s="75"/>
      <c r="H535" s="75"/>
      <c r="I535" s="75"/>
      <c r="J535" s="75"/>
    </row>
    <row r="536" spans="1:10" ht="15.75" customHeight="1">
      <c r="A536" s="75"/>
      <c r="B536" s="75"/>
      <c r="C536" s="75"/>
      <c r="D536" s="75"/>
      <c r="E536" s="75"/>
      <c r="F536" s="75"/>
      <c r="G536" s="75"/>
      <c r="H536" s="75"/>
      <c r="I536" s="75"/>
      <c r="J536" s="75"/>
    </row>
    <row r="537" spans="1:10" ht="15.75" customHeight="1">
      <c r="A537" s="75"/>
      <c r="B537" s="75"/>
      <c r="C537" s="75"/>
      <c r="D537" s="75"/>
      <c r="E537" s="75"/>
      <c r="F537" s="75"/>
      <c r="G537" s="75"/>
      <c r="H537" s="75"/>
      <c r="I537" s="75"/>
      <c r="J537" s="75"/>
    </row>
    <row r="538" spans="1:10" ht="15.75" customHeight="1">
      <c r="A538" s="75"/>
      <c r="B538" s="75"/>
      <c r="C538" s="75"/>
      <c r="D538" s="75"/>
      <c r="E538" s="75"/>
      <c r="F538" s="75"/>
      <c r="G538" s="75"/>
      <c r="H538" s="75"/>
      <c r="I538" s="75"/>
      <c r="J538" s="75"/>
    </row>
    <row r="539" spans="1:10" ht="15.75" customHeight="1">
      <c r="A539" s="75"/>
      <c r="B539" s="75"/>
      <c r="C539" s="75"/>
      <c r="D539" s="75"/>
      <c r="E539" s="75"/>
      <c r="F539" s="75"/>
      <c r="G539" s="75"/>
      <c r="H539" s="75"/>
      <c r="I539" s="75"/>
      <c r="J539" s="75"/>
    </row>
    <row r="540" spans="1:10" ht="15.75" customHeight="1">
      <c r="A540" s="75"/>
      <c r="B540" s="75"/>
      <c r="C540" s="75"/>
      <c r="D540" s="75"/>
      <c r="E540" s="75"/>
      <c r="F540" s="75"/>
      <c r="G540" s="75"/>
      <c r="H540" s="75"/>
      <c r="I540" s="75"/>
      <c r="J540" s="75"/>
    </row>
    <row r="541" spans="1:10" ht="15.75" customHeight="1">
      <c r="A541" s="75"/>
      <c r="B541" s="75"/>
      <c r="C541" s="75"/>
      <c r="D541" s="75"/>
      <c r="E541" s="75"/>
      <c r="F541" s="75"/>
      <c r="G541" s="75"/>
      <c r="H541" s="75"/>
      <c r="I541" s="75"/>
      <c r="J541" s="75"/>
    </row>
    <row r="542" spans="1:10" ht="15.75" customHeight="1">
      <c r="A542" s="75"/>
      <c r="B542" s="75"/>
      <c r="C542" s="75"/>
      <c r="D542" s="75"/>
      <c r="E542" s="75"/>
      <c r="F542" s="75"/>
      <c r="G542" s="75"/>
      <c r="H542" s="75"/>
      <c r="I542" s="75"/>
      <c r="J542" s="75"/>
    </row>
    <row r="543" spans="1:10" ht="15.75" customHeight="1">
      <c r="A543" s="75"/>
      <c r="B543" s="75"/>
      <c r="C543" s="75"/>
      <c r="D543" s="75"/>
      <c r="E543" s="75"/>
      <c r="F543" s="75"/>
      <c r="G543" s="75"/>
      <c r="H543" s="75"/>
      <c r="I543" s="75"/>
      <c r="J543" s="75"/>
    </row>
    <row r="544" spans="1:10" ht="15.75" customHeight="1">
      <c r="A544" s="75"/>
      <c r="B544" s="75"/>
      <c r="C544" s="75"/>
      <c r="D544" s="75"/>
      <c r="E544" s="75"/>
      <c r="F544" s="75"/>
      <c r="G544" s="75"/>
      <c r="H544" s="75"/>
      <c r="I544" s="75"/>
      <c r="J544" s="75"/>
    </row>
    <row r="545" spans="1:10" ht="15.75" customHeight="1">
      <c r="A545" s="75"/>
      <c r="B545" s="75"/>
      <c r="C545" s="75"/>
      <c r="D545" s="75"/>
      <c r="E545" s="75"/>
      <c r="F545" s="75"/>
      <c r="G545" s="75"/>
      <c r="H545" s="75"/>
      <c r="I545" s="75"/>
      <c r="J545" s="75"/>
    </row>
    <row r="546" spans="1:10" ht="15.75" customHeight="1">
      <c r="A546" s="75"/>
      <c r="B546" s="75"/>
      <c r="C546" s="75"/>
      <c r="D546" s="75"/>
      <c r="E546" s="75"/>
      <c r="F546" s="75"/>
      <c r="G546" s="75"/>
      <c r="H546" s="75"/>
      <c r="I546" s="75"/>
      <c r="J546" s="75"/>
    </row>
    <row r="547" spans="1:10" ht="15.75" customHeight="1">
      <c r="A547" s="75"/>
      <c r="B547" s="75"/>
      <c r="C547" s="75"/>
      <c r="D547" s="75"/>
      <c r="E547" s="75"/>
      <c r="F547" s="75"/>
      <c r="G547" s="75"/>
      <c r="H547" s="75"/>
      <c r="I547" s="75"/>
      <c r="J547" s="75"/>
    </row>
    <row r="548" spans="1:10" ht="15.75" customHeight="1">
      <c r="A548" s="75"/>
      <c r="B548" s="75"/>
      <c r="C548" s="75"/>
      <c r="D548" s="75"/>
      <c r="E548" s="75"/>
      <c r="F548" s="75"/>
      <c r="G548" s="75"/>
      <c r="H548" s="75"/>
      <c r="I548" s="75"/>
      <c r="J548" s="75"/>
    </row>
    <row r="549" spans="1:10" ht="15.75" customHeight="1">
      <c r="A549" s="75"/>
      <c r="B549" s="75"/>
      <c r="C549" s="75"/>
      <c r="D549" s="75"/>
      <c r="E549" s="75"/>
      <c r="F549" s="75"/>
      <c r="G549" s="75"/>
      <c r="H549" s="75"/>
      <c r="I549" s="75"/>
      <c r="J549" s="75"/>
    </row>
    <row r="550" spans="1:10" ht="15.75" customHeight="1">
      <c r="A550" s="75"/>
      <c r="B550" s="75"/>
      <c r="C550" s="75"/>
      <c r="D550" s="75"/>
      <c r="E550" s="75"/>
      <c r="F550" s="75"/>
      <c r="G550" s="75"/>
      <c r="H550" s="75"/>
      <c r="I550" s="75"/>
      <c r="J550" s="75"/>
    </row>
    <row r="551" spans="1:10" ht="15.75" customHeight="1">
      <c r="A551" s="75"/>
      <c r="B551" s="75"/>
      <c r="C551" s="75"/>
      <c r="D551" s="75"/>
      <c r="E551" s="75"/>
      <c r="F551" s="75"/>
      <c r="G551" s="75"/>
      <c r="H551" s="75"/>
      <c r="I551" s="75"/>
      <c r="J551" s="75"/>
    </row>
    <row r="552" spans="1:10" ht="15.75" customHeight="1">
      <c r="A552" s="75"/>
      <c r="B552" s="75"/>
      <c r="C552" s="75"/>
      <c r="D552" s="75"/>
      <c r="E552" s="75"/>
      <c r="F552" s="75"/>
      <c r="G552" s="75"/>
      <c r="H552" s="75"/>
      <c r="I552" s="75"/>
      <c r="J552" s="75"/>
    </row>
    <row r="553" spans="1:10" ht="15.75" customHeight="1">
      <c r="A553" s="75"/>
      <c r="B553" s="75"/>
      <c r="C553" s="75"/>
      <c r="D553" s="75"/>
      <c r="E553" s="75"/>
      <c r="F553" s="75"/>
      <c r="G553" s="75"/>
      <c r="H553" s="75"/>
      <c r="I553" s="75"/>
      <c r="J553" s="75"/>
    </row>
    <row r="554" spans="1:10" ht="15.75" customHeight="1">
      <c r="A554" s="75"/>
      <c r="B554" s="75"/>
      <c r="C554" s="75"/>
      <c r="D554" s="75"/>
      <c r="E554" s="75"/>
      <c r="F554" s="75"/>
      <c r="G554" s="75"/>
      <c r="H554" s="75"/>
      <c r="I554" s="75"/>
      <c r="J554" s="75"/>
    </row>
    <row r="555" spans="1:10" ht="15.75" customHeight="1">
      <c r="A555" s="75"/>
      <c r="B555" s="75"/>
      <c r="C555" s="75"/>
      <c r="D555" s="75"/>
      <c r="E555" s="75"/>
      <c r="F555" s="75"/>
      <c r="G555" s="75"/>
      <c r="H555" s="75"/>
      <c r="I555" s="75"/>
      <c r="J555" s="75"/>
    </row>
    <row r="556" spans="1:10" ht="15.75" customHeight="1">
      <c r="A556" s="75"/>
      <c r="B556" s="75"/>
      <c r="C556" s="75"/>
      <c r="D556" s="75"/>
      <c r="E556" s="75"/>
      <c r="F556" s="75"/>
      <c r="G556" s="75"/>
      <c r="H556" s="75"/>
      <c r="I556" s="75"/>
      <c r="J556" s="75"/>
    </row>
    <row r="557" spans="1:10" ht="15.75" customHeight="1">
      <c r="A557" s="75"/>
      <c r="B557" s="75"/>
      <c r="C557" s="75"/>
      <c r="D557" s="75"/>
      <c r="E557" s="75"/>
      <c r="F557" s="75"/>
      <c r="G557" s="75"/>
      <c r="H557" s="75"/>
      <c r="I557" s="75"/>
      <c r="J557" s="75"/>
    </row>
    <row r="558" spans="1:10" ht="15.75" customHeight="1">
      <c r="A558" s="75"/>
      <c r="B558" s="75"/>
      <c r="C558" s="75"/>
      <c r="D558" s="75"/>
      <c r="E558" s="75"/>
      <c r="F558" s="75"/>
      <c r="G558" s="75"/>
      <c r="H558" s="75"/>
      <c r="I558" s="75"/>
      <c r="J558" s="75"/>
    </row>
    <row r="559" spans="1:10" ht="15.75" customHeight="1">
      <c r="A559" s="75"/>
      <c r="B559" s="75"/>
      <c r="C559" s="75"/>
      <c r="D559" s="75"/>
      <c r="E559" s="75"/>
      <c r="F559" s="75"/>
      <c r="G559" s="75"/>
      <c r="H559" s="75"/>
      <c r="I559" s="75"/>
      <c r="J559" s="75"/>
    </row>
    <row r="560" spans="1:10" ht="15.75" customHeight="1">
      <c r="A560" s="75"/>
      <c r="B560" s="75"/>
      <c r="C560" s="75"/>
      <c r="D560" s="75"/>
      <c r="E560" s="75"/>
      <c r="F560" s="75"/>
      <c r="G560" s="75"/>
      <c r="H560" s="75"/>
      <c r="I560" s="75"/>
      <c r="J560" s="75"/>
    </row>
    <row r="561" spans="1:10" ht="15.75" customHeight="1">
      <c r="A561" s="75"/>
      <c r="B561" s="75"/>
      <c r="C561" s="75"/>
      <c r="D561" s="75"/>
      <c r="E561" s="75"/>
      <c r="F561" s="75"/>
      <c r="G561" s="75"/>
      <c r="H561" s="75"/>
      <c r="I561" s="75"/>
      <c r="J561" s="75"/>
    </row>
    <row r="562" spans="1:10" ht="15.75" customHeight="1">
      <c r="A562" s="75"/>
      <c r="B562" s="75"/>
      <c r="C562" s="75"/>
      <c r="D562" s="75"/>
      <c r="E562" s="75"/>
      <c r="F562" s="75"/>
      <c r="G562" s="75"/>
      <c r="H562" s="75"/>
      <c r="I562" s="75"/>
      <c r="J562" s="75"/>
    </row>
    <row r="563" spans="1:10" ht="15.75" customHeight="1">
      <c r="A563" s="75"/>
      <c r="B563" s="75"/>
      <c r="C563" s="75"/>
      <c r="D563" s="75"/>
      <c r="E563" s="75"/>
      <c r="F563" s="75"/>
      <c r="G563" s="75"/>
      <c r="H563" s="75"/>
      <c r="I563" s="75"/>
      <c r="J563" s="75"/>
    </row>
    <row r="564" spans="1:10" ht="15.75" customHeight="1">
      <c r="A564" s="75"/>
      <c r="B564" s="75"/>
      <c r="C564" s="75"/>
      <c r="D564" s="75"/>
      <c r="E564" s="75"/>
      <c r="F564" s="75"/>
      <c r="G564" s="75"/>
      <c r="H564" s="75"/>
      <c r="I564" s="75"/>
      <c r="J564" s="75"/>
    </row>
    <row r="565" spans="1:10" ht="15.75" customHeight="1">
      <c r="A565" s="75"/>
      <c r="B565" s="75"/>
      <c r="C565" s="75"/>
      <c r="D565" s="75"/>
      <c r="E565" s="75"/>
      <c r="F565" s="75"/>
      <c r="G565" s="75"/>
      <c r="H565" s="75"/>
      <c r="I565" s="75"/>
      <c r="J565" s="75"/>
    </row>
    <row r="566" spans="1:10" ht="15.75" customHeight="1">
      <c r="A566" s="75"/>
      <c r="B566" s="75"/>
      <c r="C566" s="75"/>
      <c r="D566" s="75"/>
      <c r="E566" s="75"/>
      <c r="F566" s="75"/>
      <c r="G566" s="75"/>
      <c r="H566" s="75"/>
      <c r="I566" s="75"/>
      <c r="J566" s="75"/>
    </row>
    <row r="567" spans="1:10" ht="15.75" customHeight="1">
      <c r="A567" s="75"/>
      <c r="B567" s="75"/>
      <c r="C567" s="75"/>
      <c r="D567" s="75"/>
      <c r="E567" s="75"/>
      <c r="F567" s="75"/>
      <c r="G567" s="75"/>
      <c r="H567" s="75"/>
      <c r="I567" s="75"/>
      <c r="J567" s="75"/>
    </row>
    <row r="568" spans="1:10" ht="15.75" customHeight="1">
      <c r="A568" s="75"/>
      <c r="B568" s="75"/>
      <c r="C568" s="75"/>
      <c r="D568" s="75"/>
      <c r="E568" s="75"/>
      <c r="F568" s="75"/>
      <c r="G568" s="75"/>
      <c r="H568" s="75"/>
      <c r="I568" s="75"/>
      <c r="J568" s="75"/>
    </row>
    <row r="569" spans="1:10" ht="15.75" customHeight="1">
      <c r="A569" s="75"/>
      <c r="B569" s="75"/>
      <c r="C569" s="75"/>
      <c r="D569" s="75"/>
      <c r="E569" s="75"/>
      <c r="F569" s="75"/>
      <c r="G569" s="75"/>
      <c r="H569" s="75"/>
      <c r="I569" s="75"/>
      <c r="J569" s="75"/>
    </row>
    <row r="570" spans="1:10" ht="15.75" customHeight="1">
      <c r="A570" s="75"/>
      <c r="B570" s="75"/>
      <c r="C570" s="75"/>
      <c r="D570" s="75"/>
      <c r="E570" s="75"/>
      <c r="F570" s="75"/>
      <c r="G570" s="75"/>
      <c r="H570" s="75"/>
      <c r="I570" s="75"/>
      <c r="J570" s="75"/>
    </row>
    <row r="571" spans="1:10" ht="15.75" customHeight="1">
      <c r="A571" s="75"/>
      <c r="B571" s="75"/>
      <c r="C571" s="75"/>
      <c r="D571" s="75"/>
      <c r="E571" s="75"/>
      <c r="F571" s="75"/>
      <c r="G571" s="75"/>
      <c r="H571" s="75"/>
      <c r="I571" s="75"/>
      <c r="J571" s="75"/>
    </row>
    <row r="572" spans="1:10" ht="15.75" customHeight="1">
      <c r="A572" s="75"/>
      <c r="B572" s="75"/>
      <c r="C572" s="75"/>
      <c r="D572" s="75"/>
      <c r="E572" s="75"/>
      <c r="F572" s="75"/>
      <c r="G572" s="75"/>
      <c r="H572" s="75"/>
      <c r="I572" s="75"/>
      <c r="J572" s="75"/>
    </row>
    <row r="573" spans="1:10" ht="15.75" customHeight="1">
      <c r="A573" s="75"/>
      <c r="B573" s="75"/>
      <c r="C573" s="75"/>
      <c r="D573" s="75"/>
      <c r="E573" s="75"/>
      <c r="F573" s="75"/>
      <c r="G573" s="75"/>
      <c r="H573" s="75"/>
      <c r="I573" s="75"/>
      <c r="J573" s="75"/>
    </row>
    <row r="574" spans="1:10" ht="15.75" customHeight="1">
      <c r="A574" s="75"/>
      <c r="B574" s="75"/>
      <c r="C574" s="75"/>
      <c r="D574" s="75"/>
      <c r="E574" s="75"/>
      <c r="F574" s="75"/>
      <c r="G574" s="75"/>
      <c r="H574" s="75"/>
      <c r="I574" s="75"/>
      <c r="J574" s="75"/>
    </row>
    <row r="575" spans="1:10" ht="15.75" customHeight="1">
      <c r="A575" s="75"/>
      <c r="B575" s="75"/>
      <c r="C575" s="75"/>
      <c r="D575" s="75"/>
      <c r="E575" s="75"/>
      <c r="F575" s="75"/>
      <c r="G575" s="75"/>
      <c r="H575" s="75"/>
      <c r="I575" s="75"/>
      <c r="J575" s="75"/>
    </row>
    <row r="576" spans="1:10" ht="15.75" customHeight="1">
      <c r="A576" s="75"/>
      <c r="B576" s="75"/>
      <c r="C576" s="75"/>
      <c r="D576" s="75"/>
      <c r="E576" s="75"/>
      <c r="F576" s="75"/>
      <c r="G576" s="75"/>
      <c r="H576" s="75"/>
      <c r="I576" s="75"/>
      <c r="J576" s="75"/>
    </row>
    <row r="577" spans="1:10" ht="15.75" customHeight="1">
      <c r="A577" s="75"/>
      <c r="B577" s="75"/>
      <c r="C577" s="75"/>
      <c r="D577" s="75"/>
      <c r="E577" s="75"/>
      <c r="F577" s="75"/>
      <c r="G577" s="75"/>
      <c r="H577" s="75"/>
      <c r="I577" s="75"/>
      <c r="J577" s="75"/>
    </row>
    <row r="578" spans="1:10" ht="15.75" customHeight="1">
      <c r="A578" s="75"/>
      <c r="B578" s="75"/>
      <c r="C578" s="75"/>
      <c r="D578" s="75"/>
      <c r="E578" s="75"/>
      <c r="F578" s="75"/>
      <c r="G578" s="75"/>
      <c r="H578" s="75"/>
      <c r="I578" s="75"/>
      <c r="J578" s="75"/>
    </row>
    <row r="579" spans="1:10" ht="15.75" customHeight="1">
      <c r="A579" s="75"/>
      <c r="B579" s="75"/>
      <c r="C579" s="75"/>
      <c r="D579" s="75"/>
      <c r="E579" s="75"/>
      <c r="F579" s="75"/>
      <c r="G579" s="75"/>
      <c r="H579" s="75"/>
      <c r="I579" s="75"/>
      <c r="J579" s="75"/>
    </row>
    <row r="580" spans="1:10" ht="15.75" customHeight="1">
      <c r="A580" s="75"/>
      <c r="B580" s="75"/>
      <c r="C580" s="75"/>
      <c r="D580" s="75"/>
      <c r="E580" s="75"/>
      <c r="F580" s="75"/>
      <c r="G580" s="75"/>
      <c r="H580" s="75"/>
      <c r="I580" s="75"/>
      <c r="J580" s="75"/>
    </row>
    <row r="581" spans="1:10" ht="15.75" customHeight="1">
      <c r="A581" s="75"/>
      <c r="B581" s="75"/>
      <c r="C581" s="75"/>
      <c r="D581" s="75"/>
      <c r="E581" s="75"/>
      <c r="F581" s="75"/>
      <c r="G581" s="75"/>
      <c r="H581" s="75"/>
      <c r="I581" s="75"/>
      <c r="J581" s="75"/>
    </row>
    <row r="582" spans="1:10" ht="15.75" customHeight="1">
      <c r="A582" s="75"/>
      <c r="B582" s="75"/>
      <c r="C582" s="75"/>
      <c r="D582" s="75"/>
      <c r="E582" s="75"/>
      <c r="F582" s="75"/>
      <c r="G582" s="75"/>
      <c r="H582" s="75"/>
      <c r="I582" s="75"/>
      <c r="J582" s="75"/>
    </row>
    <row r="583" spans="1:10" ht="15.75" customHeight="1">
      <c r="A583" s="75"/>
      <c r="B583" s="75"/>
      <c r="C583" s="75"/>
      <c r="D583" s="75"/>
      <c r="E583" s="75"/>
      <c r="F583" s="75"/>
      <c r="G583" s="75"/>
      <c r="H583" s="75"/>
      <c r="I583" s="75"/>
      <c r="J583" s="75"/>
    </row>
    <row r="584" spans="1:10" ht="15.75" customHeight="1">
      <c r="A584" s="75"/>
      <c r="B584" s="75"/>
      <c r="C584" s="75"/>
      <c r="D584" s="75"/>
      <c r="E584" s="75"/>
      <c r="F584" s="75"/>
      <c r="G584" s="75"/>
      <c r="H584" s="75"/>
      <c r="I584" s="75"/>
      <c r="J584" s="75"/>
    </row>
    <row r="585" spans="1:10" ht="15.75" customHeight="1">
      <c r="A585" s="75"/>
      <c r="B585" s="75"/>
      <c r="C585" s="75"/>
      <c r="D585" s="75"/>
      <c r="E585" s="75"/>
      <c r="F585" s="75"/>
      <c r="G585" s="75"/>
      <c r="H585" s="75"/>
      <c r="I585" s="75"/>
      <c r="J585" s="75"/>
    </row>
    <row r="586" spans="1:10" ht="15.75" customHeight="1">
      <c r="A586" s="75"/>
      <c r="B586" s="75"/>
      <c r="C586" s="75"/>
      <c r="D586" s="75"/>
      <c r="E586" s="75"/>
      <c r="F586" s="75"/>
      <c r="G586" s="75"/>
      <c r="H586" s="75"/>
      <c r="I586" s="75"/>
      <c r="J586" s="75"/>
    </row>
    <row r="587" spans="1:10" ht="15.75" customHeight="1">
      <c r="A587" s="75"/>
      <c r="B587" s="75"/>
      <c r="C587" s="75"/>
      <c r="D587" s="75"/>
      <c r="E587" s="75"/>
      <c r="F587" s="75"/>
      <c r="G587" s="75"/>
      <c r="H587" s="75"/>
      <c r="I587" s="75"/>
      <c r="J587" s="75"/>
    </row>
    <row r="588" spans="1:10" ht="15.75" customHeight="1">
      <c r="A588" s="75"/>
      <c r="B588" s="75"/>
      <c r="C588" s="75"/>
      <c r="D588" s="75"/>
      <c r="E588" s="75"/>
      <c r="F588" s="75"/>
      <c r="G588" s="75"/>
      <c r="H588" s="75"/>
      <c r="I588" s="75"/>
      <c r="J588" s="75"/>
    </row>
    <row r="589" spans="1:10" ht="15.75" customHeight="1">
      <c r="A589" s="75"/>
      <c r="B589" s="75"/>
      <c r="C589" s="75"/>
      <c r="D589" s="75"/>
      <c r="E589" s="75"/>
      <c r="F589" s="75"/>
      <c r="G589" s="75"/>
      <c r="H589" s="75"/>
      <c r="I589" s="75"/>
      <c r="J589" s="75"/>
    </row>
    <row r="590" spans="1:10" ht="15.75" customHeight="1">
      <c r="A590" s="75"/>
      <c r="B590" s="75"/>
      <c r="C590" s="75"/>
      <c r="D590" s="75"/>
      <c r="E590" s="75"/>
      <c r="F590" s="75"/>
      <c r="G590" s="75"/>
      <c r="H590" s="75"/>
      <c r="I590" s="75"/>
      <c r="J590" s="75"/>
    </row>
    <row r="591" spans="1:10" ht="15.75" customHeight="1">
      <c r="A591" s="75"/>
      <c r="B591" s="75"/>
      <c r="C591" s="75"/>
      <c r="D591" s="75"/>
      <c r="E591" s="75"/>
      <c r="F591" s="75"/>
      <c r="G591" s="75"/>
      <c r="H591" s="75"/>
      <c r="I591" s="75"/>
      <c r="J591" s="75"/>
    </row>
    <row r="592" spans="1:10" ht="15.75" customHeight="1">
      <c r="A592" s="75"/>
      <c r="B592" s="75"/>
      <c r="C592" s="75"/>
      <c r="D592" s="75"/>
      <c r="E592" s="75"/>
      <c r="F592" s="75"/>
      <c r="G592" s="75"/>
      <c r="H592" s="75"/>
      <c r="I592" s="75"/>
      <c r="J592" s="75"/>
    </row>
    <row r="593" spans="1:10" ht="15.75" customHeight="1">
      <c r="A593" s="75"/>
      <c r="B593" s="75"/>
      <c r="C593" s="75"/>
      <c r="D593" s="75"/>
      <c r="E593" s="75"/>
      <c r="F593" s="75"/>
      <c r="G593" s="75"/>
      <c r="H593" s="75"/>
      <c r="I593" s="75"/>
      <c r="J593" s="75"/>
    </row>
    <row r="594" spans="1:10" ht="15.75" customHeight="1">
      <c r="A594" s="75"/>
      <c r="B594" s="75"/>
      <c r="C594" s="75"/>
      <c r="D594" s="75"/>
      <c r="E594" s="75"/>
      <c r="F594" s="75"/>
      <c r="G594" s="75"/>
      <c r="H594" s="75"/>
      <c r="I594" s="75"/>
      <c r="J594" s="75"/>
    </row>
    <row r="595" spans="1:10" ht="15.75" customHeight="1">
      <c r="A595" s="75"/>
      <c r="B595" s="75"/>
      <c r="C595" s="75"/>
      <c r="D595" s="75"/>
      <c r="E595" s="75"/>
      <c r="F595" s="75"/>
      <c r="G595" s="75"/>
      <c r="H595" s="75"/>
      <c r="I595" s="75"/>
      <c r="J595" s="75"/>
    </row>
    <row r="596" spans="1:10" ht="15.75" customHeight="1">
      <c r="A596" s="75"/>
      <c r="B596" s="75"/>
      <c r="C596" s="75"/>
      <c r="D596" s="75"/>
      <c r="E596" s="75"/>
      <c r="F596" s="75"/>
      <c r="G596" s="75"/>
      <c r="H596" s="75"/>
      <c r="I596" s="75"/>
      <c r="J596" s="75"/>
    </row>
    <row r="597" spans="1:10" ht="15.75" customHeight="1">
      <c r="A597" s="75"/>
      <c r="B597" s="75"/>
      <c r="C597" s="75"/>
      <c r="D597" s="75"/>
      <c r="E597" s="75"/>
      <c r="F597" s="75"/>
      <c r="G597" s="75"/>
      <c r="H597" s="75"/>
      <c r="I597" s="75"/>
      <c r="J597" s="75"/>
    </row>
    <row r="598" spans="1:10" ht="15.75" customHeight="1">
      <c r="A598" s="75"/>
      <c r="B598" s="75"/>
      <c r="C598" s="75"/>
      <c r="D598" s="75"/>
      <c r="E598" s="75"/>
      <c r="F598" s="75"/>
      <c r="G598" s="75"/>
      <c r="H598" s="75"/>
      <c r="I598" s="75"/>
      <c r="J598" s="75"/>
    </row>
    <row r="599" spans="1:10" ht="15.75" customHeight="1">
      <c r="A599" s="75"/>
      <c r="B599" s="75"/>
      <c r="C599" s="75"/>
      <c r="D599" s="75"/>
      <c r="E599" s="75"/>
      <c r="F599" s="75"/>
      <c r="G599" s="75"/>
      <c r="H599" s="75"/>
      <c r="I599" s="75"/>
      <c r="J599" s="75"/>
    </row>
    <row r="600" spans="1:10" ht="15.75" customHeight="1">
      <c r="A600" s="75"/>
      <c r="B600" s="75"/>
      <c r="C600" s="75"/>
      <c r="D600" s="75"/>
      <c r="E600" s="75"/>
      <c r="F600" s="75"/>
      <c r="G600" s="75"/>
      <c r="H600" s="75"/>
      <c r="I600" s="75"/>
      <c r="J600" s="75"/>
    </row>
    <row r="601" spans="1:10" ht="15.75" customHeight="1">
      <c r="A601" s="75"/>
      <c r="B601" s="75"/>
      <c r="C601" s="75"/>
      <c r="D601" s="75"/>
      <c r="E601" s="75"/>
      <c r="F601" s="75"/>
      <c r="G601" s="75"/>
      <c r="H601" s="75"/>
      <c r="I601" s="75"/>
      <c r="J601" s="75"/>
    </row>
    <row r="602" spans="1:10" ht="15.75" customHeight="1">
      <c r="A602" s="75"/>
      <c r="B602" s="75"/>
      <c r="C602" s="75"/>
      <c r="D602" s="75"/>
      <c r="E602" s="75"/>
      <c r="F602" s="75"/>
      <c r="G602" s="75"/>
      <c r="H602" s="75"/>
      <c r="I602" s="75"/>
      <c r="J602" s="75"/>
    </row>
    <row r="603" spans="1:10" ht="15.75" customHeight="1">
      <c r="A603" s="75"/>
      <c r="B603" s="75"/>
      <c r="C603" s="75"/>
      <c r="D603" s="75"/>
      <c r="E603" s="75"/>
      <c r="F603" s="75"/>
      <c r="G603" s="75"/>
      <c r="H603" s="75"/>
      <c r="I603" s="75"/>
      <c r="J603" s="75"/>
    </row>
    <row r="604" spans="1:10" ht="15.75" customHeight="1">
      <c r="A604" s="75"/>
      <c r="B604" s="75"/>
      <c r="C604" s="75"/>
      <c r="D604" s="75"/>
      <c r="E604" s="75"/>
      <c r="F604" s="75"/>
      <c r="G604" s="75"/>
      <c r="H604" s="75"/>
      <c r="I604" s="75"/>
      <c r="J604" s="75"/>
    </row>
    <row r="605" spans="1:10" ht="15.75" customHeight="1">
      <c r="A605" s="75"/>
      <c r="B605" s="75"/>
      <c r="C605" s="75"/>
      <c r="D605" s="75"/>
      <c r="E605" s="75"/>
      <c r="F605" s="75"/>
      <c r="G605" s="75"/>
      <c r="H605" s="75"/>
      <c r="I605" s="75"/>
      <c r="J605" s="75"/>
    </row>
    <row r="606" spans="1:10" ht="15.75" customHeight="1">
      <c r="A606" s="75"/>
      <c r="B606" s="75"/>
      <c r="C606" s="75"/>
      <c r="D606" s="75"/>
      <c r="E606" s="75"/>
      <c r="F606" s="75"/>
      <c r="G606" s="75"/>
      <c r="H606" s="75"/>
      <c r="I606" s="75"/>
      <c r="J606" s="75"/>
    </row>
    <row r="607" spans="1:10" ht="15.75" customHeight="1">
      <c r="A607" s="75"/>
      <c r="B607" s="75"/>
      <c r="C607" s="75"/>
      <c r="D607" s="75"/>
      <c r="E607" s="75"/>
      <c r="F607" s="75"/>
      <c r="G607" s="75"/>
      <c r="H607" s="75"/>
      <c r="I607" s="75"/>
      <c r="J607" s="75"/>
    </row>
    <row r="608" spans="1:10" ht="15.75" customHeight="1">
      <c r="A608" s="75"/>
      <c r="B608" s="75"/>
      <c r="C608" s="75"/>
      <c r="D608" s="75"/>
      <c r="E608" s="75"/>
      <c r="F608" s="75"/>
      <c r="G608" s="75"/>
      <c r="H608" s="75"/>
      <c r="I608" s="75"/>
      <c r="J608" s="75"/>
    </row>
    <row r="609" spans="1:10" ht="15.75" customHeight="1">
      <c r="A609" s="75"/>
      <c r="B609" s="75"/>
      <c r="C609" s="75"/>
      <c r="D609" s="75"/>
      <c r="E609" s="75"/>
      <c r="F609" s="75"/>
      <c r="G609" s="75"/>
      <c r="H609" s="75"/>
      <c r="I609" s="75"/>
      <c r="J609" s="75"/>
    </row>
    <row r="610" spans="1:10" ht="15.75" customHeight="1">
      <c r="A610" s="75"/>
      <c r="B610" s="75"/>
      <c r="C610" s="75"/>
      <c r="D610" s="75"/>
      <c r="E610" s="75"/>
      <c r="F610" s="75"/>
      <c r="G610" s="75"/>
      <c r="H610" s="75"/>
      <c r="I610" s="75"/>
      <c r="J610" s="75"/>
    </row>
    <row r="611" spans="1:10" ht="15.75" customHeight="1">
      <c r="A611" s="75"/>
      <c r="B611" s="75"/>
      <c r="C611" s="75"/>
      <c r="D611" s="75"/>
      <c r="E611" s="75"/>
      <c r="F611" s="75"/>
      <c r="G611" s="75"/>
      <c r="H611" s="75"/>
      <c r="I611" s="75"/>
      <c r="J611" s="75"/>
    </row>
    <row r="612" spans="1:10" ht="15.75" customHeight="1">
      <c r="A612" s="75"/>
      <c r="B612" s="75"/>
      <c r="C612" s="75"/>
      <c r="D612" s="75"/>
      <c r="E612" s="75"/>
      <c r="F612" s="75"/>
      <c r="G612" s="75"/>
      <c r="H612" s="75"/>
      <c r="I612" s="75"/>
      <c r="J612" s="75"/>
    </row>
    <row r="613" spans="1:10" ht="15.75" customHeight="1">
      <c r="A613" s="75"/>
      <c r="B613" s="75"/>
      <c r="C613" s="75"/>
      <c r="D613" s="75"/>
      <c r="E613" s="75"/>
      <c r="F613" s="75"/>
      <c r="G613" s="75"/>
      <c r="H613" s="75"/>
      <c r="I613" s="75"/>
      <c r="J613" s="75"/>
    </row>
    <row r="614" spans="1:10" ht="15.75" customHeight="1">
      <c r="A614" s="75"/>
      <c r="B614" s="75"/>
      <c r="C614" s="75"/>
      <c r="D614" s="75"/>
      <c r="E614" s="75"/>
      <c r="F614" s="75"/>
      <c r="G614" s="75"/>
      <c r="H614" s="75"/>
      <c r="I614" s="75"/>
      <c r="J614" s="75"/>
    </row>
    <row r="615" spans="1:10" ht="15.75" customHeight="1">
      <c r="A615" s="75"/>
      <c r="B615" s="75"/>
      <c r="C615" s="75"/>
      <c r="D615" s="75"/>
      <c r="E615" s="75"/>
      <c r="F615" s="75"/>
      <c r="G615" s="75"/>
      <c r="H615" s="75"/>
      <c r="I615" s="75"/>
      <c r="J615" s="75"/>
    </row>
    <row r="616" spans="1:10" ht="15.75" customHeight="1">
      <c r="A616" s="75"/>
      <c r="B616" s="75"/>
      <c r="C616" s="75"/>
      <c r="D616" s="75"/>
      <c r="E616" s="75"/>
      <c r="F616" s="75"/>
      <c r="G616" s="75"/>
      <c r="H616" s="75"/>
      <c r="I616" s="75"/>
      <c r="J616" s="75"/>
    </row>
    <row r="617" spans="1:10" ht="15.75" customHeight="1">
      <c r="A617" s="75"/>
      <c r="B617" s="75"/>
      <c r="C617" s="75"/>
      <c r="D617" s="75"/>
      <c r="E617" s="75"/>
      <c r="F617" s="75"/>
      <c r="G617" s="75"/>
      <c r="H617" s="75"/>
      <c r="I617" s="75"/>
      <c r="J617" s="75"/>
    </row>
    <row r="618" spans="1:10" ht="15.75" customHeight="1">
      <c r="A618" s="75"/>
      <c r="B618" s="75"/>
      <c r="C618" s="75"/>
      <c r="D618" s="75"/>
      <c r="E618" s="75"/>
      <c r="F618" s="75"/>
      <c r="G618" s="75"/>
      <c r="H618" s="75"/>
      <c r="I618" s="75"/>
      <c r="J618" s="75"/>
    </row>
    <row r="619" spans="1:10" ht="15.75" customHeight="1">
      <c r="A619" s="75"/>
      <c r="B619" s="75"/>
      <c r="C619" s="75"/>
      <c r="D619" s="75"/>
      <c r="E619" s="75"/>
      <c r="F619" s="75"/>
      <c r="G619" s="75"/>
      <c r="H619" s="75"/>
      <c r="I619" s="75"/>
      <c r="J619" s="75"/>
    </row>
    <row r="620" spans="1:10" ht="15.75" customHeight="1">
      <c r="A620" s="75"/>
      <c r="B620" s="75"/>
      <c r="C620" s="75"/>
      <c r="D620" s="75"/>
      <c r="E620" s="75"/>
      <c r="F620" s="75"/>
      <c r="G620" s="75"/>
      <c r="H620" s="75"/>
      <c r="I620" s="75"/>
      <c r="J620" s="75"/>
    </row>
    <row r="621" spans="1:10" ht="15.75" customHeight="1">
      <c r="A621" s="75"/>
      <c r="B621" s="75"/>
      <c r="C621" s="75"/>
      <c r="D621" s="75"/>
      <c r="E621" s="75"/>
      <c r="F621" s="75"/>
      <c r="G621" s="75"/>
      <c r="H621" s="75"/>
      <c r="I621" s="75"/>
      <c r="J621" s="75"/>
    </row>
    <row r="622" spans="1:10" ht="15.75" customHeight="1">
      <c r="A622" s="75"/>
      <c r="B622" s="75"/>
      <c r="C622" s="75"/>
      <c r="D622" s="75"/>
      <c r="E622" s="75"/>
      <c r="F622" s="75"/>
      <c r="G622" s="75"/>
      <c r="H622" s="75"/>
      <c r="I622" s="75"/>
      <c r="J622" s="75"/>
    </row>
    <row r="623" spans="1:10" ht="15.75" customHeight="1">
      <c r="A623" s="75"/>
      <c r="B623" s="75"/>
      <c r="C623" s="75"/>
      <c r="D623" s="75"/>
      <c r="E623" s="75"/>
      <c r="F623" s="75"/>
      <c r="G623" s="75"/>
      <c r="H623" s="75"/>
      <c r="I623" s="75"/>
      <c r="J623" s="75"/>
    </row>
    <row r="624" spans="1:10" ht="15.75" customHeight="1">
      <c r="A624" s="75"/>
      <c r="B624" s="75"/>
      <c r="C624" s="75"/>
      <c r="D624" s="75"/>
      <c r="E624" s="75"/>
      <c r="F624" s="75"/>
      <c r="G624" s="75"/>
      <c r="H624" s="75"/>
      <c r="I624" s="75"/>
      <c r="J624" s="75"/>
    </row>
    <row r="625" spans="1:10" ht="15.75" customHeight="1">
      <c r="A625" s="75"/>
      <c r="B625" s="75"/>
      <c r="C625" s="75"/>
      <c r="D625" s="75"/>
      <c r="E625" s="75"/>
      <c r="F625" s="75"/>
      <c r="G625" s="75"/>
      <c r="H625" s="75"/>
      <c r="I625" s="75"/>
      <c r="J625" s="75"/>
    </row>
    <row r="626" spans="1:10" ht="15.75" customHeight="1">
      <c r="A626" s="75"/>
      <c r="B626" s="75"/>
      <c r="C626" s="75"/>
      <c r="D626" s="75"/>
      <c r="E626" s="75"/>
      <c r="F626" s="75"/>
      <c r="G626" s="75"/>
      <c r="H626" s="75"/>
      <c r="I626" s="75"/>
      <c r="J626" s="75"/>
    </row>
    <row r="627" spans="1:10" ht="15.75" customHeight="1">
      <c r="A627" s="75"/>
      <c r="B627" s="75"/>
      <c r="C627" s="75"/>
      <c r="D627" s="75"/>
      <c r="E627" s="75"/>
      <c r="F627" s="75"/>
      <c r="G627" s="75"/>
      <c r="H627" s="75"/>
      <c r="I627" s="75"/>
      <c r="J627" s="75"/>
    </row>
    <row r="628" spans="1:10" ht="15.75" customHeight="1">
      <c r="A628" s="75"/>
      <c r="B628" s="75"/>
      <c r="C628" s="75"/>
      <c r="D628" s="75"/>
      <c r="E628" s="75"/>
      <c r="F628" s="75"/>
      <c r="G628" s="75"/>
      <c r="H628" s="75"/>
      <c r="I628" s="75"/>
      <c r="J628" s="75"/>
    </row>
    <row r="629" spans="1:10" ht="15.75" customHeight="1">
      <c r="A629" s="75"/>
      <c r="B629" s="75"/>
      <c r="C629" s="75"/>
      <c r="D629" s="75"/>
      <c r="E629" s="75"/>
      <c r="F629" s="75"/>
      <c r="G629" s="75"/>
      <c r="H629" s="75"/>
      <c r="I629" s="75"/>
      <c r="J629" s="75"/>
    </row>
    <row r="630" spans="1:10" ht="15.75" customHeight="1">
      <c r="A630" s="75"/>
      <c r="B630" s="75"/>
      <c r="C630" s="75"/>
      <c r="D630" s="75"/>
      <c r="E630" s="75"/>
      <c r="F630" s="75"/>
      <c r="G630" s="75"/>
      <c r="H630" s="75"/>
      <c r="I630" s="75"/>
      <c r="J630" s="75"/>
    </row>
    <row r="631" spans="1:10" ht="15.75" customHeight="1">
      <c r="A631" s="75"/>
      <c r="B631" s="75"/>
      <c r="C631" s="75"/>
      <c r="D631" s="75"/>
      <c r="E631" s="75"/>
      <c r="F631" s="75"/>
      <c r="G631" s="75"/>
      <c r="H631" s="75"/>
      <c r="I631" s="75"/>
      <c r="J631" s="75"/>
    </row>
    <row r="632" spans="1:10" ht="15.75" customHeight="1">
      <c r="A632" s="75"/>
      <c r="B632" s="75"/>
      <c r="C632" s="75"/>
      <c r="D632" s="75"/>
      <c r="E632" s="75"/>
      <c r="F632" s="75"/>
      <c r="G632" s="75"/>
      <c r="H632" s="75"/>
      <c r="I632" s="75"/>
      <c r="J632" s="75"/>
    </row>
    <row r="633" spans="1:10" ht="15.75" customHeight="1">
      <c r="A633" s="75"/>
      <c r="B633" s="75"/>
      <c r="C633" s="75"/>
      <c r="D633" s="75"/>
      <c r="E633" s="75"/>
      <c r="F633" s="75"/>
      <c r="G633" s="75"/>
      <c r="H633" s="75"/>
      <c r="I633" s="75"/>
      <c r="J633" s="75"/>
    </row>
    <row r="634" spans="1:10" ht="15.75" customHeight="1">
      <c r="A634" s="75"/>
      <c r="B634" s="75"/>
      <c r="C634" s="75"/>
      <c r="D634" s="75"/>
      <c r="E634" s="75"/>
      <c r="F634" s="75"/>
      <c r="G634" s="75"/>
      <c r="H634" s="75"/>
      <c r="I634" s="75"/>
      <c r="J634" s="75"/>
    </row>
    <row r="635" spans="1:10" ht="15.75" customHeight="1">
      <c r="A635" s="75"/>
      <c r="B635" s="75"/>
      <c r="C635" s="75"/>
      <c r="D635" s="75"/>
      <c r="E635" s="75"/>
      <c r="F635" s="75"/>
      <c r="G635" s="75"/>
      <c r="H635" s="75"/>
      <c r="I635" s="75"/>
      <c r="J635" s="75"/>
    </row>
    <row r="636" spans="1:10" ht="15.75" customHeight="1">
      <c r="A636" s="75"/>
      <c r="B636" s="75"/>
      <c r="C636" s="75"/>
      <c r="D636" s="75"/>
      <c r="E636" s="75"/>
      <c r="F636" s="75"/>
      <c r="G636" s="75"/>
      <c r="H636" s="75"/>
      <c r="I636" s="75"/>
      <c r="J636" s="75"/>
    </row>
    <row r="637" spans="1:10" ht="15.75" customHeight="1">
      <c r="A637" s="75"/>
      <c r="B637" s="75"/>
      <c r="C637" s="75"/>
      <c r="D637" s="75"/>
      <c r="E637" s="75"/>
      <c r="F637" s="75"/>
      <c r="G637" s="75"/>
      <c r="H637" s="75"/>
      <c r="I637" s="75"/>
      <c r="J637" s="75"/>
    </row>
    <row r="638" spans="1:10" ht="15.75" customHeight="1">
      <c r="A638" s="75"/>
      <c r="B638" s="75"/>
      <c r="C638" s="75"/>
      <c r="D638" s="75"/>
      <c r="E638" s="75"/>
      <c r="F638" s="75"/>
      <c r="G638" s="75"/>
      <c r="H638" s="75"/>
      <c r="I638" s="75"/>
      <c r="J638" s="75"/>
    </row>
    <row r="639" spans="1:10" ht="15.75" customHeight="1">
      <c r="A639" s="75"/>
      <c r="B639" s="75"/>
      <c r="C639" s="75"/>
      <c r="D639" s="75"/>
      <c r="E639" s="75"/>
      <c r="F639" s="75"/>
      <c r="G639" s="75"/>
      <c r="H639" s="75"/>
      <c r="I639" s="75"/>
      <c r="J639" s="75"/>
    </row>
    <row r="640" spans="1:10" ht="15.75" customHeight="1">
      <c r="A640" s="75"/>
      <c r="B640" s="75"/>
      <c r="C640" s="75"/>
      <c r="D640" s="75"/>
      <c r="E640" s="75"/>
      <c r="F640" s="75"/>
      <c r="G640" s="75"/>
      <c r="H640" s="75"/>
      <c r="I640" s="75"/>
      <c r="J640" s="75"/>
    </row>
    <row r="641" spans="1:10" ht="15.75" customHeight="1">
      <c r="A641" s="75"/>
      <c r="B641" s="75"/>
      <c r="C641" s="75"/>
      <c r="D641" s="75"/>
      <c r="E641" s="75"/>
      <c r="F641" s="75"/>
      <c r="G641" s="75"/>
      <c r="H641" s="75"/>
      <c r="I641" s="75"/>
      <c r="J641" s="75"/>
    </row>
    <row r="642" spans="1:10" ht="15.75" customHeight="1">
      <c r="A642" s="75"/>
      <c r="B642" s="75"/>
      <c r="C642" s="75"/>
      <c r="D642" s="75"/>
      <c r="E642" s="75"/>
      <c r="F642" s="75"/>
      <c r="G642" s="75"/>
      <c r="H642" s="75"/>
      <c r="I642" s="75"/>
      <c r="J642" s="75"/>
    </row>
    <row r="643" spans="1:10" ht="15.75" customHeight="1">
      <c r="A643" s="75"/>
      <c r="B643" s="75"/>
      <c r="C643" s="75"/>
      <c r="D643" s="75"/>
      <c r="E643" s="75"/>
      <c r="F643" s="75"/>
      <c r="G643" s="75"/>
      <c r="H643" s="75"/>
      <c r="I643" s="75"/>
      <c r="J643" s="75"/>
    </row>
    <row r="644" spans="1:10" ht="15.75" customHeight="1">
      <c r="A644" s="75"/>
      <c r="B644" s="75"/>
      <c r="C644" s="75"/>
      <c r="D644" s="75"/>
      <c r="E644" s="75"/>
      <c r="F644" s="75"/>
      <c r="G644" s="75"/>
      <c r="H644" s="75"/>
      <c r="I644" s="75"/>
      <c r="J644" s="75"/>
    </row>
    <row r="645" spans="1:10" ht="15.75" customHeight="1">
      <c r="A645" s="75"/>
      <c r="B645" s="75"/>
      <c r="C645" s="75"/>
      <c r="D645" s="75"/>
      <c r="E645" s="75"/>
      <c r="F645" s="75"/>
      <c r="G645" s="75"/>
      <c r="H645" s="75"/>
      <c r="I645" s="75"/>
      <c r="J645" s="75"/>
    </row>
    <row r="646" spans="1:10" ht="15.75" customHeight="1">
      <c r="A646" s="75"/>
      <c r="B646" s="75"/>
      <c r="C646" s="75"/>
      <c r="D646" s="75"/>
      <c r="E646" s="75"/>
      <c r="F646" s="75"/>
      <c r="G646" s="75"/>
      <c r="H646" s="75"/>
      <c r="I646" s="75"/>
      <c r="J646" s="75"/>
    </row>
    <row r="647" spans="1:10" ht="15.75" customHeight="1">
      <c r="A647" s="75"/>
      <c r="B647" s="75"/>
      <c r="C647" s="75"/>
      <c r="D647" s="75"/>
      <c r="E647" s="75"/>
      <c r="F647" s="75"/>
      <c r="G647" s="75"/>
      <c r="H647" s="75"/>
      <c r="I647" s="75"/>
      <c r="J647" s="75"/>
    </row>
    <row r="648" spans="1:10" ht="15.75" customHeight="1">
      <c r="A648" s="75"/>
      <c r="B648" s="75"/>
      <c r="C648" s="75"/>
      <c r="D648" s="75"/>
      <c r="E648" s="75"/>
      <c r="F648" s="75"/>
      <c r="G648" s="75"/>
      <c r="H648" s="75"/>
      <c r="I648" s="75"/>
      <c r="J648" s="75"/>
    </row>
    <row r="649" spans="1:10" ht="15.75" customHeight="1">
      <c r="A649" s="75"/>
      <c r="B649" s="75"/>
      <c r="C649" s="75"/>
      <c r="D649" s="75"/>
      <c r="E649" s="75"/>
      <c r="F649" s="75"/>
      <c r="G649" s="75"/>
      <c r="H649" s="75"/>
      <c r="I649" s="75"/>
      <c r="J649" s="75"/>
    </row>
    <row r="650" spans="1:10" ht="15.75" customHeight="1">
      <c r="A650" s="75"/>
      <c r="B650" s="75"/>
      <c r="C650" s="75"/>
      <c r="D650" s="75"/>
      <c r="E650" s="75"/>
      <c r="F650" s="75"/>
      <c r="G650" s="75"/>
      <c r="H650" s="75"/>
      <c r="I650" s="75"/>
      <c r="J650" s="75"/>
    </row>
    <row r="651" spans="1:10" ht="15.75" customHeight="1">
      <c r="A651" s="75"/>
      <c r="B651" s="75"/>
      <c r="C651" s="75"/>
      <c r="D651" s="75"/>
      <c r="E651" s="75"/>
      <c r="F651" s="75"/>
      <c r="G651" s="75"/>
      <c r="H651" s="75"/>
      <c r="I651" s="75"/>
      <c r="J651" s="75"/>
    </row>
    <row r="652" spans="1:10" ht="15.75" customHeight="1">
      <c r="A652" s="75"/>
      <c r="B652" s="75"/>
      <c r="C652" s="75"/>
      <c r="D652" s="75"/>
      <c r="E652" s="75"/>
      <c r="F652" s="75"/>
      <c r="G652" s="75"/>
      <c r="H652" s="75"/>
      <c r="I652" s="75"/>
      <c r="J652" s="75"/>
    </row>
    <row r="653" spans="1:10" ht="15.75" customHeight="1">
      <c r="A653" s="75"/>
      <c r="B653" s="75"/>
      <c r="C653" s="75"/>
      <c r="D653" s="75"/>
      <c r="E653" s="75"/>
      <c r="F653" s="75"/>
      <c r="G653" s="75"/>
      <c r="H653" s="75"/>
      <c r="I653" s="75"/>
      <c r="J653" s="75"/>
    </row>
    <row r="654" spans="1:10" ht="15.75" customHeight="1">
      <c r="A654" s="75"/>
      <c r="B654" s="75"/>
      <c r="C654" s="75"/>
      <c r="D654" s="75"/>
      <c r="E654" s="75"/>
      <c r="F654" s="75"/>
      <c r="G654" s="75"/>
      <c r="H654" s="75"/>
      <c r="I654" s="75"/>
      <c r="J654" s="75"/>
    </row>
    <row r="655" spans="1:10" ht="15.75" customHeight="1">
      <c r="A655" s="75"/>
      <c r="B655" s="75"/>
      <c r="C655" s="75"/>
      <c r="D655" s="75"/>
      <c r="E655" s="75"/>
      <c r="F655" s="75"/>
      <c r="G655" s="75"/>
      <c r="H655" s="75"/>
      <c r="I655" s="75"/>
      <c r="J655" s="75"/>
    </row>
    <row r="656" spans="1:10" ht="15.75" customHeight="1">
      <c r="A656" s="75"/>
      <c r="B656" s="75"/>
      <c r="C656" s="75"/>
      <c r="D656" s="75"/>
      <c r="E656" s="75"/>
      <c r="F656" s="75"/>
      <c r="G656" s="75"/>
      <c r="H656" s="75"/>
      <c r="I656" s="75"/>
      <c r="J656" s="75"/>
    </row>
    <row r="657" spans="1:10" ht="15.75" customHeight="1">
      <c r="A657" s="75"/>
      <c r="B657" s="75"/>
      <c r="C657" s="75"/>
      <c r="D657" s="75"/>
      <c r="E657" s="75"/>
      <c r="F657" s="75"/>
      <c r="G657" s="75"/>
      <c r="H657" s="75"/>
      <c r="I657" s="75"/>
      <c r="J657" s="75"/>
    </row>
    <row r="658" spans="1:10" ht="15.75" customHeight="1">
      <c r="A658" s="75"/>
      <c r="B658" s="75"/>
      <c r="C658" s="75"/>
      <c r="D658" s="75"/>
      <c r="E658" s="75"/>
      <c r="F658" s="75"/>
      <c r="G658" s="75"/>
      <c r="H658" s="75"/>
      <c r="I658" s="75"/>
      <c r="J658" s="75"/>
    </row>
    <row r="659" spans="1:10" ht="15.75" customHeight="1">
      <c r="A659" s="75"/>
      <c r="B659" s="75"/>
      <c r="C659" s="75"/>
      <c r="D659" s="75"/>
      <c r="E659" s="75"/>
      <c r="F659" s="75"/>
      <c r="G659" s="75"/>
      <c r="H659" s="75"/>
      <c r="I659" s="75"/>
      <c r="J659" s="75"/>
    </row>
    <row r="660" spans="1:10" ht="15.75" customHeight="1">
      <c r="A660" s="75"/>
      <c r="B660" s="75"/>
      <c r="C660" s="75"/>
      <c r="D660" s="75"/>
      <c r="E660" s="75"/>
      <c r="F660" s="75"/>
      <c r="G660" s="75"/>
      <c r="H660" s="75"/>
      <c r="I660" s="75"/>
      <c r="J660" s="75"/>
    </row>
    <row r="661" spans="1:10" ht="15.75" customHeight="1">
      <c r="A661" s="75"/>
      <c r="B661" s="75"/>
      <c r="C661" s="75"/>
      <c r="D661" s="75"/>
      <c r="E661" s="75"/>
      <c r="F661" s="75"/>
      <c r="G661" s="75"/>
      <c r="H661" s="75"/>
      <c r="I661" s="75"/>
      <c r="J661" s="75"/>
    </row>
    <row r="662" spans="1:10" ht="15.75" customHeight="1">
      <c r="A662" s="75"/>
      <c r="B662" s="75"/>
      <c r="C662" s="75"/>
      <c r="D662" s="75"/>
      <c r="E662" s="75"/>
      <c r="F662" s="75"/>
      <c r="G662" s="75"/>
      <c r="H662" s="75"/>
      <c r="I662" s="75"/>
      <c r="J662" s="75"/>
    </row>
    <row r="663" spans="1:10" ht="15.75" customHeight="1">
      <c r="A663" s="75"/>
      <c r="B663" s="75"/>
      <c r="C663" s="75"/>
      <c r="D663" s="75"/>
      <c r="E663" s="75"/>
      <c r="F663" s="75"/>
      <c r="G663" s="75"/>
      <c r="H663" s="75"/>
      <c r="I663" s="75"/>
      <c r="J663" s="75"/>
    </row>
    <row r="664" spans="1:10" ht="15.75" customHeight="1">
      <c r="A664" s="75"/>
      <c r="B664" s="75"/>
      <c r="C664" s="75"/>
      <c r="D664" s="75"/>
      <c r="E664" s="75"/>
      <c r="F664" s="75"/>
      <c r="G664" s="75"/>
      <c r="H664" s="75"/>
      <c r="I664" s="75"/>
      <c r="J664" s="75"/>
    </row>
    <row r="665" spans="1:10" ht="15.75" customHeight="1">
      <c r="A665" s="75"/>
      <c r="B665" s="75"/>
      <c r="C665" s="75"/>
      <c r="D665" s="75"/>
      <c r="E665" s="75"/>
      <c r="F665" s="75"/>
      <c r="G665" s="75"/>
      <c r="H665" s="75"/>
      <c r="I665" s="75"/>
      <c r="J665" s="75"/>
    </row>
    <row r="666" spans="1:10" ht="15.75" customHeight="1">
      <c r="A666" s="75"/>
      <c r="B666" s="75"/>
      <c r="C666" s="75"/>
      <c r="D666" s="75"/>
      <c r="E666" s="75"/>
      <c r="F666" s="75"/>
      <c r="G666" s="75"/>
      <c r="H666" s="75"/>
      <c r="I666" s="75"/>
      <c r="J666" s="75"/>
    </row>
    <row r="667" spans="1:10" ht="15.75" customHeight="1">
      <c r="A667" s="75"/>
      <c r="B667" s="75"/>
      <c r="C667" s="75"/>
      <c r="D667" s="75"/>
      <c r="E667" s="75"/>
      <c r="F667" s="75"/>
      <c r="G667" s="75"/>
      <c r="H667" s="75"/>
      <c r="I667" s="75"/>
      <c r="J667" s="75"/>
    </row>
    <row r="668" spans="1:10" ht="15.75" customHeight="1">
      <c r="A668" s="75"/>
      <c r="B668" s="75"/>
      <c r="C668" s="75"/>
      <c r="D668" s="75"/>
      <c r="E668" s="75"/>
      <c r="F668" s="75"/>
      <c r="G668" s="75"/>
      <c r="H668" s="75"/>
      <c r="I668" s="75"/>
      <c r="J668" s="75"/>
    </row>
    <row r="669" spans="1:10" ht="15.75" customHeight="1">
      <c r="A669" s="75"/>
      <c r="B669" s="75"/>
      <c r="C669" s="75"/>
      <c r="D669" s="75"/>
      <c r="E669" s="75"/>
      <c r="F669" s="75"/>
      <c r="G669" s="75"/>
      <c r="H669" s="75"/>
      <c r="I669" s="75"/>
      <c r="J669" s="75"/>
    </row>
    <row r="670" spans="1:10" ht="15.75" customHeight="1">
      <c r="A670" s="75"/>
      <c r="B670" s="75"/>
      <c r="C670" s="75"/>
      <c r="D670" s="75"/>
      <c r="E670" s="75"/>
      <c r="F670" s="75"/>
      <c r="G670" s="75"/>
      <c r="H670" s="75"/>
      <c r="I670" s="75"/>
      <c r="J670" s="75"/>
    </row>
    <row r="671" spans="1:10" ht="15.75" customHeight="1">
      <c r="A671" s="75"/>
      <c r="B671" s="75"/>
      <c r="C671" s="75"/>
      <c r="D671" s="75"/>
      <c r="E671" s="75"/>
      <c r="F671" s="75"/>
      <c r="G671" s="75"/>
      <c r="H671" s="75"/>
      <c r="I671" s="75"/>
      <c r="J671" s="75"/>
    </row>
    <row r="672" spans="1:10" ht="15.75" customHeight="1">
      <c r="A672" s="75"/>
      <c r="B672" s="75"/>
      <c r="C672" s="75"/>
      <c r="D672" s="75"/>
      <c r="E672" s="75"/>
      <c r="F672" s="75"/>
      <c r="G672" s="75"/>
      <c r="H672" s="75"/>
      <c r="I672" s="75"/>
      <c r="J672" s="75"/>
    </row>
    <row r="673" spans="1:10" ht="15.75" customHeight="1">
      <c r="A673" s="75"/>
      <c r="B673" s="75"/>
      <c r="C673" s="75"/>
      <c r="D673" s="75"/>
      <c r="E673" s="75"/>
      <c r="F673" s="75"/>
      <c r="G673" s="75"/>
      <c r="H673" s="75"/>
      <c r="I673" s="75"/>
      <c r="J673" s="75"/>
    </row>
    <row r="674" spans="1:10" ht="15.75" customHeight="1">
      <c r="A674" s="75"/>
      <c r="B674" s="75"/>
      <c r="C674" s="75"/>
      <c r="D674" s="75"/>
      <c r="E674" s="75"/>
      <c r="F674" s="75"/>
      <c r="G674" s="75"/>
      <c r="H674" s="75"/>
      <c r="I674" s="75"/>
      <c r="J674" s="75"/>
    </row>
    <row r="675" spans="1:10" ht="15.75" customHeight="1">
      <c r="A675" s="75"/>
      <c r="B675" s="75"/>
      <c r="C675" s="75"/>
      <c r="D675" s="75"/>
      <c r="E675" s="75"/>
      <c r="F675" s="75"/>
      <c r="G675" s="75"/>
      <c r="H675" s="75"/>
      <c r="I675" s="75"/>
      <c r="J675" s="75"/>
    </row>
    <row r="676" spans="1:10" ht="15.75" customHeight="1">
      <c r="A676" s="75"/>
      <c r="B676" s="75"/>
      <c r="C676" s="75"/>
      <c r="D676" s="75"/>
      <c r="E676" s="75"/>
      <c r="F676" s="75"/>
      <c r="G676" s="75"/>
      <c r="H676" s="75"/>
      <c r="I676" s="75"/>
      <c r="J676" s="75"/>
    </row>
    <row r="677" spans="1:10" ht="15.75" customHeight="1">
      <c r="A677" s="75"/>
      <c r="B677" s="75"/>
      <c r="C677" s="75"/>
      <c r="D677" s="75"/>
      <c r="E677" s="75"/>
      <c r="F677" s="75"/>
      <c r="G677" s="75"/>
      <c r="H677" s="75"/>
      <c r="I677" s="75"/>
      <c r="J677" s="75"/>
    </row>
    <row r="678" spans="1:10" ht="15.75" customHeight="1">
      <c r="A678" s="75"/>
      <c r="B678" s="75"/>
      <c r="C678" s="75"/>
      <c r="D678" s="75"/>
      <c r="E678" s="75"/>
      <c r="F678" s="75"/>
      <c r="G678" s="75"/>
      <c r="H678" s="75"/>
      <c r="I678" s="75"/>
      <c r="J678" s="75"/>
    </row>
    <row r="679" spans="1:10" ht="15.75" customHeight="1">
      <c r="A679" s="75"/>
      <c r="B679" s="75"/>
      <c r="C679" s="75"/>
      <c r="D679" s="75"/>
      <c r="E679" s="75"/>
      <c r="F679" s="75"/>
      <c r="G679" s="75"/>
      <c r="H679" s="75"/>
      <c r="I679" s="75"/>
      <c r="J679" s="75"/>
    </row>
    <row r="680" spans="1:10" ht="15.75" customHeight="1">
      <c r="A680" s="75"/>
      <c r="B680" s="75"/>
      <c r="C680" s="75"/>
      <c r="D680" s="75"/>
      <c r="E680" s="75"/>
      <c r="F680" s="75"/>
      <c r="G680" s="75"/>
      <c r="H680" s="75"/>
      <c r="I680" s="75"/>
      <c r="J680" s="75"/>
    </row>
    <row r="681" spans="1:10" ht="15.75" customHeight="1">
      <c r="A681" s="75"/>
      <c r="B681" s="75"/>
      <c r="C681" s="75"/>
      <c r="D681" s="75"/>
      <c r="E681" s="75"/>
      <c r="F681" s="75"/>
      <c r="G681" s="75"/>
      <c r="H681" s="75"/>
      <c r="I681" s="75"/>
      <c r="J681" s="75"/>
    </row>
    <row r="682" spans="1:10" ht="15.75" customHeight="1">
      <c r="A682" s="75"/>
      <c r="B682" s="75"/>
      <c r="C682" s="75"/>
      <c r="D682" s="75"/>
      <c r="E682" s="75"/>
      <c r="F682" s="75"/>
      <c r="G682" s="75"/>
      <c r="H682" s="75"/>
      <c r="I682" s="75"/>
      <c r="J682" s="75"/>
    </row>
    <row r="683" spans="1:10" ht="15.75" customHeight="1">
      <c r="A683" s="75"/>
      <c r="B683" s="75"/>
      <c r="C683" s="75"/>
      <c r="D683" s="75"/>
      <c r="E683" s="75"/>
      <c r="F683" s="75"/>
      <c r="G683" s="75"/>
      <c r="H683" s="75"/>
      <c r="I683" s="75"/>
      <c r="J683" s="75"/>
    </row>
    <row r="684" spans="1:10" ht="15.75" customHeight="1">
      <c r="A684" s="75"/>
      <c r="B684" s="75"/>
      <c r="C684" s="75"/>
      <c r="D684" s="75"/>
      <c r="E684" s="75"/>
      <c r="F684" s="75"/>
      <c r="G684" s="75"/>
      <c r="H684" s="75"/>
      <c r="I684" s="75"/>
      <c r="J684" s="75"/>
    </row>
    <row r="685" spans="1:10" ht="15.75" customHeight="1">
      <c r="A685" s="75"/>
      <c r="B685" s="75"/>
      <c r="C685" s="75"/>
      <c r="D685" s="75"/>
      <c r="E685" s="75"/>
      <c r="F685" s="75"/>
      <c r="G685" s="75"/>
      <c r="H685" s="75"/>
      <c r="I685" s="75"/>
      <c r="J685" s="75"/>
    </row>
    <row r="686" spans="1:10" ht="15.75" customHeight="1">
      <c r="A686" s="75"/>
      <c r="B686" s="75"/>
      <c r="C686" s="75"/>
      <c r="D686" s="75"/>
      <c r="E686" s="75"/>
      <c r="F686" s="75"/>
      <c r="G686" s="75"/>
      <c r="H686" s="75"/>
      <c r="I686" s="75"/>
      <c r="J686" s="75"/>
    </row>
    <row r="687" spans="1:10" ht="15.75" customHeight="1">
      <c r="A687" s="75"/>
      <c r="B687" s="75"/>
      <c r="C687" s="75"/>
      <c r="D687" s="75"/>
      <c r="E687" s="75"/>
      <c r="F687" s="75"/>
      <c r="G687" s="75"/>
      <c r="H687" s="75"/>
      <c r="I687" s="75"/>
      <c r="J687" s="75"/>
    </row>
    <row r="688" spans="1:10" ht="15.75" customHeight="1">
      <c r="A688" s="75"/>
      <c r="B688" s="75"/>
      <c r="C688" s="75"/>
      <c r="D688" s="75"/>
      <c r="E688" s="75"/>
      <c r="F688" s="75"/>
      <c r="G688" s="75"/>
      <c r="H688" s="75"/>
      <c r="I688" s="75"/>
      <c r="J688" s="75"/>
    </row>
    <row r="689" spans="1:10" ht="15.75" customHeight="1">
      <c r="A689" s="75"/>
      <c r="B689" s="75"/>
      <c r="C689" s="75"/>
      <c r="D689" s="75"/>
      <c r="E689" s="75"/>
      <c r="F689" s="75"/>
      <c r="G689" s="75"/>
      <c r="H689" s="75"/>
      <c r="I689" s="75"/>
      <c r="J689" s="75"/>
    </row>
    <row r="690" spans="1:10" ht="15.75" customHeight="1">
      <c r="A690" s="75"/>
      <c r="B690" s="75"/>
      <c r="C690" s="75"/>
      <c r="D690" s="75"/>
      <c r="E690" s="75"/>
      <c r="F690" s="75"/>
      <c r="G690" s="75"/>
      <c r="H690" s="75"/>
      <c r="I690" s="75"/>
      <c r="J690" s="75"/>
    </row>
    <row r="691" spans="1:10" ht="15.75" customHeight="1">
      <c r="A691" s="75"/>
      <c r="B691" s="75"/>
      <c r="C691" s="75"/>
      <c r="D691" s="75"/>
      <c r="E691" s="75"/>
      <c r="F691" s="75"/>
      <c r="G691" s="75"/>
      <c r="H691" s="75"/>
      <c r="I691" s="75"/>
      <c r="J691" s="75"/>
    </row>
    <row r="692" spans="1:10" ht="15.75" customHeight="1">
      <c r="A692" s="75"/>
      <c r="B692" s="75"/>
      <c r="C692" s="75"/>
      <c r="D692" s="75"/>
      <c r="E692" s="75"/>
      <c r="F692" s="75"/>
      <c r="G692" s="75"/>
      <c r="H692" s="75"/>
      <c r="I692" s="75"/>
      <c r="J692" s="75"/>
    </row>
    <row r="693" spans="1:10" ht="15.75" customHeight="1">
      <c r="A693" s="75"/>
      <c r="B693" s="75"/>
      <c r="C693" s="75"/>
      <c r="D693" s="75"/>
      <c r="E693" s="75"/>
      <c r="F693" s="75"/>
      <c r="G693" s="75"/>
      <c r="H693" s="75"/>
      <c r="I693" s="75"/>
      <c r="J693" s="75"/>
    </row>
    <row r="694" spans="1:10" ht="15.75" customHeight="1">
      <c r="A694" s="75"/>
      <c r="B694" s="75"/>
      <c r="C694" s="75"/>
      <c r="D694" s="75"/>
      <c r="E694" s="75"/>
      <c r="F694" s="75"/>
      <c r="G694" s="75"/>
      <c r="H694" s="75"/>
      <c r="I694" s="75"/>
      <c r="J694" s="75"/>
    </row>
    <row r="695" spans="1:10" ht="15.75" customHeight="1">
      <c r="A695" s="75"/>
      <c r="B695" s="75"/>
      <c r="C695" s="75"/>
      <c r="D695" s="75"/>
      <c r="E695" s="75"/>
      <c r="F695" s="75"/>
      <c r="G695" s="75"/>
      <c r="H695" s="75"/>
      <c r="I695" s="75"/>
      <c r="J695" s="75"/>
    </row>
    <row r="696" spans="1:10" ht="15.75" customHeight="1">
      <c r="A696" s="75"/>
      <c r="B696" s="75"/>
      <c r="C696" s="75"/>
      <c r="D696" s="75"/>
      <c r="E696" s="75"/>
      <c r="F696" s="75"/>
      <c r="G696" s="75"/>
      <c r="H696" s="75"/>
      <c r="I696" s="75"/>
      <c r="J696" s="75"/>
    </row>
    <row r="697" spans="1:10" ht="15.75" customHeight="1">
      <c r="A697" s="75"/>
      <c r="B697" s="75"/>
      <c r="C697" s="75"/>
      <c r="D697" s="75"/>
      <c r="E697" s="75"/>
      <c r="F697" s="75"/>
      <c r="G697" s="75"/>
      <c r="H697" s="75"/>
      <c r="I697" s="75"/>
      <c r="J697" s="75"/>
    </row>
    <row r="698" spans="1:10" ht="15.75" customHeight="1">
      <c r="A698" s="75"/>
      <c r="B698" s="75"/>
      <c r="C698" s="75"/>
      <c r="D698" s="75"/>
      <c r="E698" s="75"/>
      <c r="F698" s="75"/>
      <c r="G698" s="75"/>
      <c r="H698" s="75"/>
      <c r="I698" s="75"/>
      <c r="J698" s="75"/>
    </row>
    <row r="699" spans="1:10" ht="15.75" customHeight="1">
      <c r="A699" s="75"/>
      <c r="B699" s="75"/>
      <c r="C699" s="75"/>
      <c r="D699" s="75"/>
      <c r="E699" s="75"/>
      <c r="F699" s="75"/>
      <c r="G699" s="75"/>
      <c r="H699" s="75"/>
      <c r="I699" s="75"/>
      <c r="J699" s="75"/>
    </row>
    <row r="700" spans="1:10" ht="15.75" customHeight="1">
      <c r="A700" s="75"/>
      <c r="B700" s="75"/>
      <c r="C700" s="75"/>
      <c r="D700" s="75"/>
      <c r="E700" s="75"/>
      <c r="F700" s="75"/>
      <c r="G700" s="75"/>
      <c r="H700" s="75"/>
      <c r="I700" s="75"/>
      <c r="J700" s="75"/>
    </row>
    <row r="701" spans="1:10" ht="15.75" customHeight="1">
      <c r="A701" s="75"/>
      <c r="B701" s="75"/>
      <c r="C701" s="75"/>
      <c r="D701" s="75"/>
      <c r="E701" s="75"/>
      <c r="F701" s="75"/>
      <c r="G701" s="75"/>
      <c r="H701" s="75"/>
      <c r="I701" s="75"/>
      <c r="J701" s="75"/>
    </row>
    <row r="702" spans="1:10" ht="15.75" customHeight="1">
      <c r="A702" s="75"/>
      <c r="B702" s="75"/>
      <c r="C702" s="75"/>
      <c r="D702" s="75"/>
      <c r="E702" s="75"/>
      <c r="F702" s="75"/>
      <c r="G702" s="75"/>
      <c r="H702" s="75"/>
      <c r="I702" s="75"/>
      <c r="J702" s="75"/>
    </row>
    <row r="703" spans="1:10" ht="15.75" customHeight="1">
      <c r="A703" s="75"/>
      <c r="B703" s="75"/>
      <c r="C703" s="75"/>
      <c r="D703" s="75"/>
      <c r="E703" s="75"/>
      <c r="F703" s="75"/>
      <c r="G703" s="75"/>
      <c r="H703" s="75"/>
      <c r="I703" s="75"/>
      <c r="J703" s="75"/>
    </row>
    <row r="704" spans="1:10" ht="15.75" customHeight="1">
      <c r="A704" s="75"/>
      <c r="B704" s="75"/>
      <c r="C704" s="75"/>
      <c r="D704" s="75"/>
      <c r="E704" s="75"/>
      <c r="F704" s="75"/>
      <c r="G704" s="75"/>
      <c r="H704" s="75"/>
      <c r="I704" s="75"/>
      <c r="J704" s="75"/>
    </row>
    <row r="705" spans="1:10" ht="15.75" customHeight="1">
      <c r="A705" s="75"/>
      <c r="B705" s="75"/>
      <c r="C705" s="75"/>
      <c r="D705" s="75"/>
      <c r="E705" s="75"/>
      <c r="F705" s="75"/>
      <c r="G705" s="75"/>
      <c r="H705" s="75"/>
      <c r="I705" s="75"/>
      <c r="J705" s="75"/>
    </row>
    <row r="706" spans="1:10" ht="15.75" customHeight="1">
      <c r="A706" s="75"/>
      <c r="B706" s="75"/>
      <c r="C706" s="75"/>
      <c r="D706" s="75"/>
      <c r="E706" s="75"/>
      <c r="F706" s="75"/>
      <c r="G706" s="75"/>
      <c r="H706" s="75"/>
      <c r="I706" s="75"/>
      <c r="J706" s="75"/>
    </row>
    <row r="707" spans="1:10" ht="15.75" customHeight="1">
      <c r="A707" s="75"/>
      <c r="B707" s="75"/>
      <c r="C707" s="75"/>
      <c r="D707" s="75"/>
      <c r="E707" s="75"/>
      <c r="F707" s="75"/>
      <c r="G707" s="75"/>
      <c r="H707" s="75"/>
      <c r="I707" s="75"/>
      <c r="J707" s="75"/>
    </row>
    <row r="708" spans="1:10" ht="15.75" customHeight="1">
      <c r="A708" s="75"/>
      <c r="B708" s="75"/>
      <c r="C708" s="75"/>
      <c r="D708" s="75"/>
      <c r="E708" s="75"/>
      <c r="F708" s="75"/>
      <c r="G708" s="75"/>
      <c r="H708" s="75"/>
      <c r="I708" s="75"/>
      <c r="J708" s="75"/>
    </row>
    <row r="709" spans="1:10" ht="15.75" customHeight="1">
      <c r="A709" s="75"/>
      <c r="B709" s="75"/>
      <c r="C709" s="75"/>
      <c r="D709" s="75"/>
      <c r="E709" s="75"/>
      <c r="F709" s="75"/>
      <c r="G709" s="75"/>
      <c r="H709" s="75"/>
      <c r="I709" s="75"/>
      <c r="J709" s="75"/>
    </row>
    <row r="710" spans="1:10" ht="15.75" customHeight="1">
      <c r="A710" s="75"/>
      <c r="B710" s="75"/>
      <c r="C710" s="75"/>
      <c r="D710" s="75"/>
      <c r="E710" s="75"/>
      <c r="F710" s="75"/>
      <c r="G710" s="75"/>
      <c r="H710" s="75"/>
      <c r="I710" s="75"/>
      <c r="J710" s="75"/>
    </row>
    <row r="711" spans="1:10" ht="15.75" customHeight="1">
      <c r="A711" s="75"/>
      <c r="B711" s="75"/>
      <c r="C711" s="75"/>
      <c r="D711" s="75"/>
      <c r="E711" s="75"/>
      <c r="F711" s="75"/>
      <c r="G711" s="75"/>
      <c r="H711" s="75"/>
      <c r="I711" s="75"/>
      <c r="J711" s="75"/>
    </row>
    <row r="712" spans="1:10" ht="15.75" customHeight="1">
      <c r="A712" s="75"/>
      <c r="B712" s="75"/>
      <c r="C712" s="75"/>
      <c r="D712" s="75"/>
      <c r="E712" s="75"/>
      <c r="F712" s="75"/>
      <c r="G712" s="75"/>
      <c r="H712" s="75"/>
      <c r="I712" s="75"/>
      <c r="J712" s="75"/>
    </row>
    <row r="713" spans="1:10" ht="15.75" customHeight="1">
      <c r="A713" s="75"/>
      <c r="B713" s="75"/>
      <c r="C713" s="75"/>
      <c r="D713" s="75"/>
      <c r="E713" s="75"/>
      <c r="F713" s="75"/>
      <c r="G713" s="75"/>
      <c r="H713" s="75"/>
      <c r="I713" s="75"/>
      <c r="J713" s="75"/>
    </row>
    <row r="714" spans="1:10" ht="15.75" customHeight="1">
      <c r="A714" s="75"/>
      <c r="B714" s="75"/>
      <c r="C714" s="75"/>
      <c r="D714" s="75"/>
      <c r="E714" s="75"/>
      <c r="F714" s="75"/>
      <c r="G714" s="75"/>
      <c r="H714" s="75"/>
      <c r="I714" s="75"/>
      <c r="J714" s="75"/>
    </row>
    <row r="715" spans="1:10" ht="15.75" customHeight="1">
      <c r="A715" s="75"/>
      <c r="B715" s="75"/>
      <c r="C715" s="75"/>
      <c r="D715" s="75"/>
      <c r="E715" s="75"/>
      <c r="F715" s="75"/>
      <c r="G715" s="75"/>
      <c r="H715" s="75"/>
      <c r="I715" s="75"/>
      <c r="J715" s="75"/>
    </row>
    <row r="716" spans="1:10" ht="15.75" customHeight="1">
      <c r="A716" s="75"/>
      <c r="B716" s="75"/>
      <c r="C716" s="75"/>
      <c r="D716" s="75"/>
      <c r="E716" s="75"/>
      <c r="F716" s="75"/>
      <c r="G716" s="75"/>
      <c r="H716" s="75"/>
      <c r="I716" s="75"/>
      <c r="J716" s="75"/>
    </row>
    <row r="717" spans="1:10" ht="15.75" customHeight="1">
      <c r="A717" s="75"/>
      <c r="B717" s="75"/>
      <c r="C717" s="75"/>
      <c r="D717" s="75"/>
      <c r="E717" s="75"/>
      <c r="F717" s="75"/>
      <c r="G717" s="75"/>
      <c r="H717" s="75"/>
      <c r="I717" s="75"/>
      <c r="J717" s="75"/>
    </row>
    <row r="718" spans="1:10" ht="15.75" customHeight="1">
      <c r="A718" s="75"/>
      <c r="B718" s="75"/>
      <c r="C718" s="75"/>
      <c r="D718" s="75"/>
      <c r="E718" s="75"/>
      <c r="F718" s="75"/>
      <c r="G718" s="75"/>
      <c r="H718" s="75"/>
      <c r="I718" s="75"/>
      <c r="J718" s="75"/>
    </row>
    <row r="719" spans="1:10" ht="15.75" customHeight="1">
      <c r="A719" s="75"/>
      <c r="B719" s="75"/>
      <c r="C719" s="75"/>
      <c r="D719" s="75"/>
      <c r="E719" s="75"/>
      <c r="F719" s="75"/>
      <c r="G719" s="75"/>
      <c r="H719" s="75"/>
      <c r="I719" s="75"/>
      <c r="J719" s="75"/>
    </row>
    <row r="720" spans="1:10" ht="15.75" customHeight="1">
      <c r="A720" s="75"/>
      <c r="B720" s="75"/>
      <c r="C720" s="75"/>
      <c r="D720" s="75"/>
      <c r="E720" s="75"/>
      <c r="F720" s="75"/>
      <c r="G720" s="75"/>
      <c r="H720" s="75"/>
      <c r="I720" s="75"/>
      <c r="J720" s="75"/>
    </row>
    <row r="721" spans="1:10" ht="15.75" customHeight="1">
      <c r="A721" s="75"/>
      <c r="B721" s="75"/>
      <c r="C721" s="75"/>
      <c r="D721" s="75"/>
      <c r="E721" s="75"/>
      <c r="F721" s="75"/>
      <c r="G721" s="75"/>
      <c r="H721" s="75"/>
      <c r="I721" s="75"/>
      <c r="J721" s="75"/>
    </row>
    <row r="722" spans="1:10" ht="15.75" customHeight="1">
      <c r="A722" s="75"/>
      <c r="B722" s="75"/>
      <c r="C722" s="75"/>
      <c r="D722" s="75"/>
      <c r="E722" s="75"/>
      <c r="F722" s="75"/>
      <c r="G722" s="75"/>
      <c r="H722" s="75"/>
      <c r="I722" s="75"/>
      <c r="J722" s="75"/>
    </row>
    <row r="723" spans="1:10" ht="15.75" customHeight="1">
      <c r="A723" s="75"/>
      <c r="B723" s="75"/>
      <c r="C723" s="75"/>
      <c r="D723" s="75"/>
      <c r="E723" s="75"/>
      <c r="F723" s="75"/>
      <c r="G723" s="75"/>
      <c r="H723" s="75"/>
      <c r="I723" s="75"/>
      <c r="J723" s="75"/>
    </row>
    <row r="724" spans="1:10" ht="15.75" customHeight="1">
      <c r="A724" s="75"/>
      <c r="B724" s="75"/>
      <c r="C724" s="75"/>
      <c r="D724" s="75"/>
      <c r="E724" s="75"/>
      <c r="F724" s="75"/>
      <c r="G724" s="75"/>
      <c r="H724" s="75"/>
      <c r="I724" s="75"/>
      <c r="J724" s="75"/>
    </row>
    <row r="725" spans="1:10" ht="15.75" customHeight="1">
      <c r="A725" s="75"/>
      <c r="B725" s="75"/>
      <c r="C725" s="75"/>
      <c r="D725" s="75"/>
      <c r="E725" s="75"/>
      <c r="F725" s="75"/>
      <c r="G725" s="75"/>
      <c r="H725" s="75"/>
      <c r="I725" s="75"/>
      <c r="J725" s="75"/>
    </row>
    <row r="726" spans="1:10" ht="15.75" customHeight="1">
      <c r="A726" s="75"/>
      <c r="B726" s="75"/>
      <c r="C726" s="75"/>
      <c r="D726" s="75"/>
      <c r="E726" s="75"/>
      <c r="F726" s="75"/>
      <c r="G726" s="75"/>
      <c r="H726" s="75"/>
      <c r="I726" s="75"/>
      <c r="J726" s="75"/>
    </row>
    <row r="727" spans="1:10" ht="15.75" customHeight="1">
      <c r="A727" s="75"/>
      <c r="B727" s="75"/>
      <c r="C727" s="75"/>
      <c r="D727" s="75"/>
      <c r="E727" s="75"/>
      <c r="F727" s="75"/>
      <c r="G727" s="75"/>
      <c r="H727" s="75"/>
      <c r="I727" s="75"/>
      <c r="J727" s="75"/>
    </row>
    <row r="728" spans="1:10" ht="15.75" customHeight="1">
      <c r="A728" s="75"/>
      <c r="B728" s="75"/>
      <c r="C728" s="75"/>
      <c r="D728" s="75"/>
      <c r="E728" s="75"/>
      <c r="F728" s="75"/>
      <c r="G728" s="75"/>
      <c r="H728" s="75"/>
      <c r="I728" s="75"/>
      <c r="J728" s="75"/>
    </row>
    <row r="729" spans="1:10" ht="15.75" customHeight="1">
      <c r="A729" s="75"/>
      <c r="B729" s="75"/>
      <c r="C729" s="75"/>
      <c r="D729" s="75"/>
      <c r="E729" s="75"/>
      <c r="F729" s="75"/>
      <c r="G729" s="75"/>
      <c r="H729" s="75"/>
      <c r="I729" s="75"/>
      <c r="J729" s="75"/>
    </row>
    <row r="730" spans="1:10" ht="15.75" customHeight="1">
      <c r="A730" s="75"/>
      <c r="B730" s="75"/>
      <c r="C730" s="75"/>
      <c r="D730" s="75"/>
      <c r="E730" s="75"/>
      <c r="F730" s="75"/>
      <c r="G730" s="75"/>
      <c r="H730" s="75"/>
      <c r="I730" s="75"/>
      <c r="J730" s="75"/>
    </row>
    <row r="731" spans="1:10" ht="15.75" customHeight="1">
      <c r="A731" s="75"/>
      <c r="B731" s="75"/>
      <c r="C731" s="75"/>
      <c r="D731" s="75"/>
      <c r="E731" s="75"/>
      <c r="F731" s="75"/>
      <c r="G731" s="75"/>
      <c r="H731" s="75"/>
      <c r="I731" s="75"/>
      <c r="J731" s="75"/>
    </row>
    <row r="732" spans="1:10" ht="15.75" customHeight="1">
      <c r="A732" s="75"/>
      <c r="B732" s="75"/>
      <c r="C732" s="75"/>
      <c r="D732" s="75"/>
      <c r="E732" s="75"/>
      <c r="F732" s="75"/>
      <c r="G732" s="75"/>
      <c r="H732" s="75"/>
      <c r="I732" s="75"/>
      <c r="J732" s="75"/>
    </row>
    <row r="733" spans="1:10" ht="15.75" customHeight="1">
      <c r="A733" s="75"/>
      <c r="B733" s="75"/>
      <c r="C733" s="75"/>
      <c r="D733" s="75"/>
      <c r="E733" s="75"/>
      <c r="F733" s="75"/>
      <c r="G733" s="75"/>
      <c r="H733" s="75"/>
      <c r="I733" s="75"/>
      <c r="J733" s="75"/>
    </row>
    <row r="734" spans="1:10" ht="15.75" customHeight="1">
      <c r="A734" s="75"/>
      <c r="B734" s="75"/>
      <c r="C734" s="75"/>
      <c r="D734" s="75"/>
      <c r="E734" s="75"/>
      <c r="F734" s="75"/>
      <c r="G734" s="75"/>
      <c r="H734" s="75"/>
      <c r="I734" s="75"/>
      <c r="J734" s="75"/>
    </row>
    <row r="735" spans="1:10" ht="15.75" customHeight="1">
      <c r="A735" s="75"/>
      <c r="B735" s="75"/>
      <c r="C735" s="75"/>
      <c r="D735" s="75"/>
      <c r="E735" s="75"/>
      <c r="F735" s="75"/>
      <c r="G735" s="75"/>
      <c r="H735" s="75"/>
      <c r="I735" s="75"/>
      <c r="J735" s="75"/>
    </row>
    <row r="736" spans="1:10" ht="15.75" customHeight="1">
      <c r="A736" s="75"/>
      <c r="B736" s="75"/>
      <c r="C736" s="75"/>
      <c r="D736" s="75"/>
      <c r="E736" s="75"/>
      <c r="F736" s="75"/>
      <c r="G736" s="75"/>
      <c r="H736" s="75"/>
      <c r="I736" s="75"/>
      <c r="J736" s="75"/>
    </row>
    <row r="737" spans="1:10" ht="15.75" customHeight="1">
      <c r="A737" s="75"/>
      <c r="B737" s="75"/>
      <c r="C737" s="75"/>
      <c r="D737" s="75"/>
      <c r="E737" s="75"/>
      <c r="F737" s="75"/>
      <c r="G737" s="75"/>
      <c r="H737" s="75"/>
      <c r="I737" s="75"/>
      <c r="J737" s="75"/>
    </row>
    <row r="738" spans="1:10" ht="15.75" customHeight="1">
      <c r="A738" s="75"/>
      <c r="B738" s="75"/>
      <c r="C738" s="75"/>
      <c r="D738" s="75"/>
      <c r="E738" s="75"/>
      <c r="F738" s="75"/>
      <c r="G738" s="75"/>
      <c r="H738" s="75"/>
      <c r="I738" s="75"/>
      <c r="J738" s="75"/>
    </row>
    <row r="739" spans="1:10" ht="15.75" customHeight="1">
      <c r="A739" s="75"/>
      <c r="B739" s="75"/>
      <c r="C739" s="75"/>
      <c r="D739" s="75"/>
      <c r="E739" s="75"/>
      <c r="F739" s="75"/>
      <c r="G739" s="75"/>
      <c r="H739" s="75"/>
      <c r="I739" s="75"/>
      <c r="J739" s="75"/>
    </row>
    <row r="740" spans="1:10" ht="15.75" customHeight="1">
      <c r="A740" s="75"/>
      <c r="B740" s="75"/>
      <c r="C740" s="75"/>
      <c r="D740" s="75"/>
      <c r="E740" s="75"/>
      <c r="F740" s="75"/>
      <c r="G740" s="75"/>
      <c r="H740" s="75"/>
      <c r="I740" s="75"/>
      <c r="J740" s="75"/>
    </row>
    <row r="741" spans="1:10" ht="15.75" customHeight="1">
      <c r="A741" s="75"/>
      <c r="B741" s="75"/>
      <c r="C741" s="75"/>
      <c r="D741" s="75"/>
      <c r="E741" s="75"/>
      <c r="F741" s="75"/>
      <c r="G741" s="75"/>
      <c r="H741" s="75"/>
      <c r="I741" s="75"/>
      <c r="J741" s="75"/>
    </row>
    <row r="742" spans="1:10" ht="15.75" customHeight="1">
      <c r="A742" s="75"/>
      <c r="B742" s="75"/>
      <c r="C742" s="75"/>
      <c r="D742" s="75"/>
      <c r="E742" s="75"/>
      <c r="F742" s="75"/>
      <c r="G742" s="75"/>
      <c r="H742" s="75"/>
      <c r="I742" s="75"/>
      <c r="J742" s="75"/>
    </row>
    <row r="743" spans="1:10" ht="15.75" customHeight="1">
      <c r="A743" s="75"/>
      <c r="B743" s="75"/>
      <c r="C743" s="75"/>
      <c r="D743" s="75"/>
      <c r="E743" s="75"/>
      <c r="F743" s="75"/>
      <c r="G743" s="75"/>
      <c r="H743" s="75"/>
      <c r="I743" s="75"/>
      <c r="J743" s="75"/>
    </row>
    <row r="744" spans="1:10" ht="15.75" customHeight="1">
      <c r="A744" s="75"/>
      <c r="B744" s="75"/>
      <c r="C744" s="75"/>
      <c r="D744" s="75"/>
      <c r="E744" s="75"/>
      <c r="F744" s="75"/>
      <c r="G744" s="75"/>
      <c r="H744" s="75"/>
      <c r="I744" s="75"/>
      <c r="J744" s="75"/>
    </row>
    <row r="745" spans="1:10" ht="15.75" customHeight="1">
      <c r="A745" s="75"/>
      <c r="B745" s="75"/>
      <c r="C745" s="75"/>
      <c r="D745" s="75"/>
      <c r="E745" s="75"/>
      <c r="F745" s="75"/>
      <c r="G745" s="75"/>
      <c r="H745" s="75"/>
      <c r="I745" s="75"/>
      <c r="J745" s="75"/>
    </row>
    <row r="746" spans="1:10" ht="15.75" customHeight="1">
      <c r="A746" s="75"/>
      <c r="B746" s="75"/>
      <c r="C746" s="75"/>
      <c r="D746" s="75"/>
      <c r="E746" s="75"/>
      <c r="F746" s="75"/>
      <c r="G746" s="75"/>
      <c r="H746" s="75"/>
      <c r="I746" s="75"/>
      <c r="J746" s="75"/>
    </row>
    <row r="747" spans="1:10" ht="15.75" customHeight="1">
      <c r="A747" s="75"/>
      <c r="B747" s="75"/>
      <c r="C747" s="75"/>
      <c r="D747" s="75"/>
      <c r="E747" s="75"/>
      <c r="F747" s="75"/>
      <c r="G747" s="75"/>
      <c r="H747" s="75"/>
      <c r="I747" s="75"/>
      <c r="J747" s="75"/>
    </row>
    <row r="748" spans="1:10" ht="15.75" customHeight="1">
      <c r="A748" s="75"/>
      <c r="B748" s="75"/>
      <c r="C748" s="75"/>
      <c r="D748" s="75"/>
      <c r="E748" s="75"/>
      <c r="F748" s="75"/>
      <c r="G748" s="75"/>
      <c r="H748" s="75"/>
      <c r="I748" s="75"/>
      <c r="J748" s="75"/>
    </row>
    <row r="749" spans="1:10" ht="15.75" customHeight="1">
      <c r="A749" s="75"/>
      <c r="B749" s="75"/>
      <c r="C749" s="75"/>
      <c r="D749" s="75"/>
      <c r="E749" s="75"/>
      <c r="F749" s="75"/>
      <c r="G749" s="75"/>
      <c r="H749" s="75"/>
      <c r="I749" s="75"/>
      <c r="J749" s="75"/>
    </row>
    <row r="750" spans="1:10" ht="15.75" customHeight="1">
      <c r="A750" s="75"/>
      <c r="B750" s="75"/>
      <c r="C750" s="75"/>
      <c r="D750" s="75"/>
      <c r="E750" s="75"/>
      <c r="F750" s="75"/>
      <c r="G750" s="75"/>
      <c r="H750" s="75"/>
      <c r="I750" s="75"/>
      <c r="J750" s="75"/>
    </row>
    <row r="751" spans="1:10" ht="15.75" customHeight="1">
      <c r="A751" s="75"/>
      <c r="B751" s="75"/>
      <c r="C751" s="75"/>
      <c r="D751" s="75"/>
      <c r="E751" s="75"/>
      <c r="F751" s="75"/>
      <c r="G751" s="75"/>
      <c r="H751" s="75"/>
      <c r="I751" s="75"/>
      <c r="J751" s="75"/>
    </row>
    <row r="752" spans="1:10" ht="15.75" customHeight="1">
      <c r="A752" s="75"/>
      <c r="B752" s="75"/>
      <c r="C752" s="75"/>
      <c r="D752" s="75"/>
      <c r="E752" s="75"/>
      <c r="F752" s="75"/>
      <c r="G752" s="75"/>
      <c r="H752" s="75"/>
      <c r="I752" s="75"/>
      <c r="J752" s="75"/>
    </row>
    <row r="753" spans="1:10" ht="15.75" customHeight="1">
      <c r="A753" s="75"/>
      <c r="B753" s="75"/>
      <c r="C753" s="75"/>
      <c r="D753" s="75"/>
      <c r="E753" s="75"/>
      <c r="F753" s="75"/>
      <c r="G753" s="75"/>
      <c r="H753" s="75"/>
      <c r="I753" s="75"/>
      <c r="J753" s="75"/>
    </row>
    <row r="754" spans="1:10" ht="15.75" customHeight="1">
      <c r="A754" s="75"/>
      <c r="B754" s="75"/>
      <c r="C754" s="75"/>
      <c r="D754" s="75"/>
      <c r="E754" s="75"/>
      <c r="F754" s="75"/>
      <c r="G754" s="75"/>
      <c r="H754" s="75"/>
      <c r="I754" s="75"/>
      <c r="J754" s="75"/>
    </row>
    <row r="755" spans="1:10" ht="15.75" customHeight="1">
      <c r="A755" s="75"/>
      <c r="B755" s="75"/>
      <c r="C755" s="75"/>
      <c r="D755" s="75"/>
      <c r="E755" s="75"/>
      <c r="F755" s="75"/>
      <c r="G755" s="75"/>
      <c r="H755" s="75"/>
      <c r="I755" s="75"/>
      <c r="J755" s="75"/>
    </row>
    <row r="756" spans="1:10" ht="15.75" customHeight="1">
      <c r="A756" s="75"/>
      <c r="B756" s="75"/>
      <c r="C756" s="75"/>
      <c r="D756" s="75"/>
      <c r="E756" s="75"/>
      <c r="F756" s="75"/>
      <c r="G756" s="75"/>
      <c r="H756" s="75"/>
      <c r="I756" s="75"/>
      <c r="J756" s="75"/>
    </row>
    <row r="757" spans="1:10" ht="15.75" customHeight="1">
      <c r="A757" s="75"/>
      <c r="B757" s="75"/>
      <c r="C757" s="75"/>
      <c r="D757" s="75"/>
      <c r="E757" s="75"/>
      <c r="F757" s="75"/>
      <c r="G757" s="75"/>
      <c r="H757" s="75"/>
      <c r="I757" s="75"/>
      <c r="J757" s="75"/>
    </row>
    <row r="758" spans="1:10" ht="15.75" customHeight="1">
      <c r="A758" s="75"/>
      <c r="B758" s="75"/>
      <c r="C758" s="75"/>
      <c r="D758" s="75"/>
      <c r="E758" s="75"/>
      <c r="F758" s="75"/>
      <c r="G758" s="75"/>
      <c r="H758" s="75"/>
      <c r="I758" s="75"/>
      <c r="J758" s="75"/>
    </row>
    <row r="759" spans="1:10" ht="15.75" customHeight="1">
      <c r="A759" s="75"/>
      <c r="B759" s="75"/>
      <c r="C759" s="75"/>
      <c r="D759" s="75"/>
      <c r="E759" s="75"/>
      <c r="F759" s="75"/>
      <c r="G759" s="75"/>
      <c r="H759" s="75"/>
      <c r="I759" s="75"/>
      <c r="J759" s="75"/>
    </row>
    <row r="760" spans="1:10" ht="15.75" customHeight="1">
      <c r="A760" s="75"/>
      <c r="B760" s="75"/>
      <c r="C760" s="75"/>
      <c r="D760" s="75"/>
      <c r="E760" s="75"/>
      <c r="F760" s="75"/>
      <c r="G760" s="75"/>
      <c r="H760" s="75"/>
      <c r="I760" s="75"/>
      <c r="J760" s="75"/>
    </row>
    <row r="761" spans="1:10" ht="15.75" customHeight="1">
      <c r="A761" s="75"/>
      <c r="B761" s="75"/>
      <c r="C761" s="75"/>
      <c r="D761" s="75"/>
      <c r="E761" s="75"/>
      <c r="F761" s="75"/>
      <c r="G761" s="75"/>
      <c r="H761" s="75"/>
      <c r="I761" s="75"/>
      <c r="J761" s="75"/>
    </row>
    <row r="762" spans="1:10" ht="15.75" customHeight="1">
      <c r="A762" s="75"/>
      <c r="B762" s="75"/>
      <c r="C762" s="75"/>
      <c r="D762" s="75"/>
      <c r="E762" s="75"/>
      <c r="F762" s="75"/>
      <c r="G762" s="75"/>
      <c r="H762" s="75"/>
      <c r="I762" s="75"/>
      <c r="J762" s="75"/>
    </row>
    <row r="763" spans="1:10" ht="15.75" customHeight="1">
      <c r="A763" s="75"/>
      <c r="B763" s="75"/>
      <c r="C763" s="75"/>
      <c r="D763" s="75"/>
      <c r="E763" s="75"/>
      <c r="F763" s="75"/>
      <c r="G763" s="75"/>
      <c r="H763" s="75"/>
      <c r="I763" s="75"/>
      <c r="J763" s="75"/>
    </row>
    <row r="764" spans="1:10" ht="15.75" customHeight="1">
      <c r="A764" s="75"/>
      <c r="B764" s="75"/>
      <c r="C764" s="75"/>
      <c r="D764" s="75"/>
      <c r="E764" s="75"/>
      <c r="F764" s="75"/>
      <c r="G764" s="75"/>
      <c r="H764" s="75"/>
      <c r="I764" s="75"/>
      <c r="J764" s="75"/>
    </row>
    <row r="765" spans="1:10" ht="15.75" customHeight="1">
      <c r="A765" s="75"/>
      <c r="B765" s="75"/>
      <c r="C765" s="75"/>
      <c r="D765" s="75"/>
      <c r="E765" s="75"/>
      <c r="F765" s="75"/>
      <c r="G765" s="75"/>
      <c r="H765" s="75"/>
      <c r="I765" s="75"/>
      <c r="J765" s="75"/>
    </row>
    <row r="766" spans="1:10" ht="15.75" customHeight="1">
      <c r="A766" s="75"/>
      <c r="B766" s="75"/>
      <c r="C766" s="75"/>
      <c r="D766" s="75"/>
      <c r="E766" s="75"/>
      <c r="F766" s="75"/>
      <c r="G766" s="75"/>
      <c r="H766" s="75"/>
      <c r="I766" s="75"/>
      <c r="J766" s="75"/>
    </row>
    <row r="767" spans="1:10" ht="15.75" customHeight="1">
      <c r="A767" s="75"/>
      <c r="B767" s="75"/>
      <c r="C767" s="75"/>
      <c r="D767" s="75"/>
      <c r="E767" s="75"/>
      <c r="F767" s="75"/>
      <c r="G767" s="75"/>
      <c r="H767" s="75"/>
      <c r="I767" s="75"/>
      <c r="J767" s="75"/>
    </row>
    <row r="768" spans="1:10" ht="15.75" customHeight="1">
      <c r="A768" s="75"/>
      <c r="B768" s="75"/>
      <c r="C768" s="75"/>
      <c r="D768" s="75"/>
      <c r="E768" s="75"/>
      <c r="F768" s="75"/>
      <c r="G768" s="75"/>
      <c r="H768" s="75"/>
      <c r="I768" s="75"/>
      <c r="J768" s="75"/>
    </row>
    <row r="769" spans="1:10" ht="15.75" customHeight="1">
      <c r="A769" s="75"/>
      <c r="B769" s="75"/>
      <c r="C769" s="75"/>
      <c r="D769" s="75"/>
      <c r="E769" s="75"/>
      <c r="F769" s="75"/>
      <c r="G769" s="75"/>
      <c r="H769" s="75"/>
      <c r="I769" s="75"/>
      <c r="J769" s="75"/>
    </row>
    <row r="770" spans="1:10" ht="15.75" customHeight="1">
      <c r="A770" s="75"/>
      <c r="B770" s="75"/>
      <c r="C770" s="75"/>
      <c r="D770" s="75"/>
      <c r="E770" s="75"/>
      <c r="F770" s="75"/>
      <c r="G770" s="75"/>
      <c r="H770" s="75"/>
      <c r="I770" s="75"/>
      <c r="J770" s="75"/>
    </row>
    <row r="771" spans="1:10" ht="15.75" customHeight="1">
      <c r="A771" s="75"/>
      <c r="B771" s="75"/>
      <c r="C771" s="75"/>
      <c r="D771" s="75"/>
      <c r="E771" s="75"/>
      <c r="F771" s="75"/>
      <c r="G771" s="75"/>
      <c r="H771" s="75"/>
      <c r="I771" s="75"/>
      <c r="J771" s="75"/>
    </row>
    <row r="772" spans="1:10" ht="15.75" customHeight="1">
      <c r="A772" s="75"/>
      <c r="B772" s="75"/>
      <c r="C772" s="75"/>
      <c r="D772" s="75"/>
      <c r="E772" s="75"/>
      <c r="F772" s="75"/>
      <c r="G772" s="75"/>
      <c r="H772" s="75"/>
      <c r="I772" s="75"/>
      <c r="J772" s="75"/>
    </row>
    <row r="773" spans="1:10" ht="15.75" customHeight="1">
      <c r="A773" s="75"/>
      <c r="B773" s="75"/>
      <c r="C773" s="75"/>
      <c r="D773" s="75"/>
      <c r="E773" s="75"/>
      <c r="F773" s="75"/>
      <c r="G773" s="75"/>
      <c r="H773" s="75"/>
      <c r="I773" s="75"/>
      <c r="J773" s="75"/>
    </row>
    <row r="774" spans="1:10" ht="15.75" customHeight="1">
      <c r="A774" s="75"/>
      <c r="B774" s="75"/>
      <c r="C774" s="75"/>
      <c r="D774" s="75"/>
      <c r="E774" s="75"/>
      <c r="F774" s="75"/>
      <c r="G774" s="75"/>
      <c r="H774" s="75"/>
      <c r="I774" s="75"/>
      <c r="J774" s="75"/>
    </row>
    <row r="775" spans="1:10" ht="15.75" customHeight="1">
      <c r="A775" s="75"/>
      <c r="B775" s="75"/>
      <c r="C775" s="75"/>
      <c r="D775" s="75"/>
      <c r="E775" s="75"/>
      <c r="F775" s="75"/>
      <c r="G775" s="75"/>
      <c r="H775" s="75"/>
      <c r="I775" s="75"/>
      <c r="J775" s="75"/>
    </row>
    <row r="776" spans="1:10" ht="15.75" customHeight="1">
      <c r="A776" s="75"/>
      <c r="B776" s="75"/>
      <c r="C776" s="75"/>
      <c r="D776" s="75"/>
      <c r="E776" s="75"/>
      <c r="F776" s="75"/>
      <c r="G776" s="75"/>
      <c r="H776" s="75"/>
      <c r="I776" s="75"/>
      <c r="J776" s="75"/>
    </row>
    <row r="777" spans="1:10" ht="15.75" customHeight="1">
      <c r="A777" s="75"/>
      <c r="B777" s="75"/>
      <c r="C777" s="75"/>
      <c r="D777" s="75"/>
      <c r="E777" s="75"/>
      <c r="F777" s="75"/>
      <c r="G777" s="75"/>
      <c r="H777" s="75"/>
      <c r="I777" s="75"/>
      <c r="J777" s="75"/>
    </row>
    <row r="778" spans="1:10" ht="15.75" customHeight="1">
      <c r="A778" s="75"/>
      <c r="B778" s="75"/>
      <c r="C778" s="75"/>
      <c r="D778" s="75"/>
      <c r="E778" s="75"/>
      <c r="F778" s="75"/>
      <c r="G778" s="75"/>
      <c r="H778" s="75"/>
      <c r="I778" s="75"/>
      <c r="J778" s="75"/>
    </row>
    <row r="779" spans="1:10" ht="15.75" customHeight="1">
      <c r="A779" s="75"/>
      <c r="B779" s="75"/>
      <c r="C779" s="75"/>
      <c r="D779" s="75"/>
      <c r="E779" s="75"/>
      <c r="F779" s="75"/>
      <c r="G779" s="75"/>
      <c r="H779" s="75"/>
      <c r="I779" s="75"/>
      <c r="J779" s="75"/>
    </row>
    <row r="780" spans="1:10" ht="15.75" customHeight="1">
      <c r="A780" s="75"/>
      <c r="B780" s="75"/>
      <c r="C780" s="75"/>
      <c r="D780" s="75"/>
      <c r="E780" s="75"/>
      <c r="F780" s="75"/>
      <c r="G780" s="75"/>
      <c r="H780" s="75"/>
      <c r="I780" s="75"/>
      <c r="J780" s="75"/>
    </row>
    <row r="781" spans="1:10" ht="15.75" customHeight="1">
      <c r="A781" s="75"/>
      <c r="B781" s="75"/>
      <c r="C781" s="75"/>
      <c r="D781" s="75"/>
      <c r="E781" s="75"/>
      <c r="F781" s="75"/>
      <c r="G781" s="75"/>
      <c r="H781" s="75"/>
      <c r="I781" s="75"/>
      <c r="J781" s="75"/>
    </row>
    <row r="782" spans="1:10" ht="15.75" customHeight="1">
      <c r="A782" s="75"/>
      <c r="B782" s="75"/>
      <c r="C782" s="75"/>
      <c r="D782" s="75"/>
      <c r="E782" s="75"/>
      <c r="F782" s="75"/>
      <c r="G782" s="75"/>
      <c r="H782" s="75"/>
      <c r="I782" s="75"/>
      <c r="J782" s="75"/>
    </row>
    <row r="783" spans="1:10" ht="15.75" customHeight="1">
      <c r="A783" s="75"/>
      <c r="B783" s="75"/>
      <c r="C783" s="75"/>
      <c r="D783" s="75"/>
      <c r="E783" s="75"/>
      <c r="F783" s="75"/>
      <c r="G783" s="75"/>
      <c r="H783" s="75"/>
      <c r="I783" s="75"/>
      <c r="J783" s="75"/>
    </row>
    <row r="784" spans="1:10" ht="15.75" customHeight="1">
      <c r="A784" s="75"/>
      <c r="B784" s="75"/>
      <c r="C784" s="75"/>
      <c r="D784" s="75"/>
      <c r="E784" s="75"/>
      <c r="F784" s="75"/>
      <c r="G784" s="75"/>
      <c r="H784" s="75"/>
      <c r="I784" s="75"/>
      <c r="J784" s="75"/>
    </row>
    <row r="785" spans="1:10" ht="15.75" customHeight="1">
      <c r="A785" s="75"/>
      <c r="B785" s="75"/>
      <c r="C785" s="75"/>
      <c r="D785" s="75"/>
      <c r="E785" s="75"/>
      <c r="F785" s="75"/>
      <c r="G785" s="75"/>
      <c r="H785" s="75"/>
      <c r="I785" s="75"/>
      <c r="J785" s="75"/>
    </row>
    <row r="786" spans="1:10" ht="15.75" customHeight="1">
      <c r="A786" s="75"/>
      <c r="B786" s="75"/>
      <c r="C786" s="75"/>
      <c r="D786" s="75"/>
      <c r="E786" s="75"/>
      <c r="F786" s="75"/>
      <c r="G786" s="75"/>
      <c r="H786" s="75"/>
      <c r="I786" s="75"/>
      <c r="J786" s="75"/>
    </row>
    <row r="787" spans="1:10" ht="15.75" customHeight="1">
      <c r="A787" s="75"/>
      <c r="B787" s="75"/>
      <c r="C787" s="75"/>
      <c r="D787" s="75"/>
      <c r="E787" s="75"/>
      <c r="F787" s="75"/>
      <c r="G787" s="75"/>
      <c r="H787" s="75"/>
      <c r="I787" s="75"/>
      <c r="J787" s="75"/>
    </row>
    <row r="788" spans="1:10" ht="15.75" customHeight="1">
      <c r="A788" s="75"/>
      <c r="B788" s="75"/>
      <c r="C788" s="75"/>
      <c r="D788" s="75"/>
      <c r="E788" s="75"/>
      <c r="F788" s="75"/>
      <c r="G788" s="75"/>
      <c r="H788" s="75"/>
      <c r="I788" s="75"/>
      <c r="J788" s="75"/>
    </row>
    <row r="789" spans="1:10" ht="15.75" customHeight="1">
      <c r="A789" s="75"/>
      <c r="B789" s="75"/>
      <c r="C789" s="75"/>
      <c r="D789" s="75"/>
      <c r="E789" s="75"/>
      <c r="F789" s="75"/>
      <c r="G789" s="75"/>
      <c r="H789" s="75"/>
      <c r="I789" s="75"/>
      <c r="J789" s="75"/>
    </row>
    <row r="790" spans="1:10" ht="15.75" customHeight="1">
      <c r="A790" s="75"/>
      <c r="B790" s="75"/>
      <c r="C790" s="75"/>
      <c r="D790" s="75"/>
      <c r="E790" s="75"/>
      <c r="F790" s="75"/>
      <c r="G790" s="75"/>
      <c r="H790" s="75"/>
      <c r="I790" s="75"/>
      <c r="J790" s="75"/>
    </row>
    <row r="791" spans="1:10" ht="15.75" customHeight="1">
      <c r="A791" s="75"/>
      <c r="B791" s="75"/>
      <c r="C791" s="75"/>
      <c r="D791" s="75"/>
      <c r="E791" s="75"/>
      <c r="F791" s="75"/>
      <c r="G791" s="75"/>
      <c r="H791" s="75"/>
      <c r="I791" s="75"/>
      <c r="J791" s="75"/>
    </row>
    <row r="792" spans="1:10" ht="15.75" customHeight="1">
      <c r="A792" s="75"/>
      <c r="B792" s="75"/>
      <c r="C792" s="75"/>
      <c r="D792" s="75"/>
      <c r="E792" s="75"/>
      <c r="F792" s="75"/>
      <c r="G792" s="75"/>
      <c r="H792" s="75"/>
      <c r="I792" s="75"/>
      <c r="J792" s="75"/>
    </row>
    <row r="793" spans="1:10" ht="15.75" customHeight="1">
      <c r="A793" s="75"/>
      <c r="B793" s="75"/>
      <c r="C793" s="75"/>
      <c r="D793" s="75"/>
      <c r="E793" s="75"/>
      <c r="F793" s="75"/>
      <c r="G793" s="75"/>
      <c r="H793" s="75"/>
      <c r="I793" s="75"/>
      <c r="J793" s="75"/>
    </row>
    <row r="794" spans="1:10" ht="15.75" customHeight="1">
      <c r="A794" s="75"/>
      <c r="B794" s="75"/>
      <c r="C794" s="75"/>
      <c r="D794" s="75"/>
      <c r="E794" s="75"/>
      <c r="F794" s="75"/>
      <c r="G794" s="75"/>
      <c r="H794" s="75"/>
      <c r="I794" s="75"/>
      <c r="J794" s="75"/>
    </row>
    <row r="795" spans="1:10" ht="15.75" customHeight="1">
      <c r="A795" s="75"/>
      <c r="B795" s="75"/>
      <c r="C795" s="75"/>
      <c r="D795" s="75"/>
      <c r="E795" s="75"/>
      <c r="F795" s="75"/>
      <c r="G795" s="75"/>
      <c r="H795" s="75"/>
      <c r="I795" s="75"/>
      <c r="J795" s="75"/>
    </row>
    <row r="796" spans="1:10" ht="15.75" customHeight="1">
      <c r="A796" s="75"/>
      <c r="B796" s="75"/>
      <c r="C796" s="75"/>
      <c r="D796" s="75"/>
      <c r="E796" s="75"/>
      <c r="F796" s="75"/>
      <c r="G796" s="75"/>
      <c r="H796" s="75"/>
      <c r="I796" s="75"/>
      <c r="J796" s="75"/>
    </row>
    <row r="797" spans="1:10" ht="15.75" customHeight="1">
      <c r="A797" s="75"/>
      <c r="B797" s="75"/>
      <c r="C797" s="75"/>
      <c r="D797" s="75"/>
      <c r="E797" s="75"/>
      <c r="F797" s="75"/>
      <c r="G797" s="75"/>
      <c r="H797" s="75"/>
      <c r="I797" s="75"/>
      <c r="J797" s="75"/>
    </row>
    <row r="798" spans="1:10" ht="15.75" customHeight="1">
      <c r="A798" s="75"/>
      <c r="B798" s="75"/>
      <c r="C798" s="75"/>
      <c r="D798" s="75"/>
      <c r="E798" s="75"/>
      <c r="F798" s="75"/>
      <c r="G798" s="75"/>
      <c r="H798" s="75"/>
      <c r="I798" s="75"/>
      <c r="J798" s="75"/>
    </row>
    <row r="799" spans="1:10" ht="15.75" customHeight="1">
      <c r="A799" s="75"/>
      <c r="B799" s="75"/>
      <c r="C799" s="75"/>
      <c r="D799" s="75"/>
      <c r="E799" s="75"/>
      <c r="F799" s="75"/>
      <c r="G799" s="75"/>
      <c r="H799" s="75"/>
      <c r="I799" s="75"/>
      <c r="J799" s="75"/>
    </row>
    <row r="800" spans="1:10" ht="15.75" customHeight="1">
      <c r="A800" s="75"/>
      <c r="B800" s="75"/>
      <c r="C800" s="75"/>
      <c r="D800" s="75"/>
      <c r="E800" s="75"/>
      <c r="F800" s="75"/>
      <c r="G800" s="75"/>
      <c r="H800" s="75"/>
      <c r="I800" s="75"/>
      <c r="J800" s="75"/>
    </row>
    <row r="801" spans="1:10" ht="15.75" customHeight="1">
      <c r="A801" s="75"/>
      <c r="B801" s="75"/>
      <c r="C801" s="75"/>
      <c r="D801" s="75"/>
      <c r="E801" s="75"/>
      <c r="F801" s="75"/>
      <c r="G801" s="75"/>
      <c r="H801" s="75"/>
      <c r="I801" s="75"/>
      <c r="J801" s="75"/>
    </row>
    <row r="802" spans="1:10" ht="15.75" customHeight="1">
      <c r="A802" s="75"/>
      <c r="B802" s="75"/>
      <c r="C802" s="75"/>
      <c r="D802" s="75"/>
      <c r="E802" s="75"/>
      <c r="F802" s="75"/>
      <c r="G802" s="75"/>
      <c r="H802" s="75"/>
      <c r="I802" s="75"/>
      <c r="J802" s="75"/>
    </row>
    <row r="803" spans="1:10" ht="15.75" customHeight="1">
      <c r="A803" s="75"/>
      <c r="B803" s="75"/>
      <c r="C803" s="75"/>
      <c r="D803" s="75"/>
      <c r="E803" s="75"/>
      <c r="F803" s="75"/>
      <c r="G803" s="75"/>
      <c r="H803" s="75"/>
      <c r="I803" s="75"/>
      <c r="J803" s="75"/>
    </row>
    <row r="804" spans="1:10" ht="15.75" customHeight="1">
      <c r="A804" s="75"/>
      <c r="B804" s="75"/>
      <c r="C804" s="75"/>
      <c r="D804" s="75"/>
      <c r="E804" s="75"/>
      <c r="F804" s="75"/>
      <c r="G804" s="75"/>
      <c r="H804" s="75"/>
      <c r="I804" s="75"/>
      <c r="J804" s="75"/>
    </row>
    <row r="805" spans="1:10" ht="15.75" customHeight="1">
      <c r="A805" s="75"/>
      <c r="B805" s="75"/>
      <c r="C805" s="75"/>
      <c r="D805" s="75"/>
      <c r="E805" s="75"/>
      <c r="F805" s="75"/>
      <c r="G805" s="75"/>
      <c r="H805" s="75"/>
      <c r="I805" s="75"/>
      <c r="J805" s="75"/>
    </row>
    <row r="806" spans="1:10" ht="15.75" customHeight="1">
      <c r="A806" s="75"/>
      <c r="B806" s="75"/>
      <c r="C806" s="75"/>
      <c r="D806" s="75"/>
      <c r="E806" s="75"/>
      <c r="F806" s="75"/>
      <c r="G806" s="75"/>
      <c r="H806" s="75"/>
      <c r="I806" s="75"/>
      <c r="J806" s="75"/>
    </row>
    <row r="807" spans="1:10" ht="15.75" customHeight="1">
      <c r="A807" s="75"/>
      <c r="B807" s="75"/>
      <c r="C807" s="75"/>
      <c r="D807" s="75"/>
      <c r="E807" s="75"/>
      <c r="F807" s="75"/>
      <c r="G807" s="75"/>
      <c r="H807" s="75"/>
      <c r="I807" s="75"/>
      <c r="J807" s="75"/>
    </row>
    <row r="808" spans="1:10" ht="15.75" customHeight="1">
      <c r="A808" s="75"/>
      <c r="B808" s="75"/>
      <c r="C808" s="75"/>
      <c r="D808" s="75"/>
      <c r="E808" s="75"/>
      <c r="F808" s="75"/>
      <c r="G808" s="75"/>
      <c r="H808" s="75"/>
      <c r="I808" s="75"/>
      <c r="J808" s="75"/>
    </row>
    <row r="809" spans="1:10" ht="15.75" customHeight="1">
      <c r="A809" s="75"/>
      <c r="B809" s="75"/>
      <c r="C809" s="75"/>
      <c r="D809" s="75"/>
      <c r="E809" s="75"/>
      <c r="F809" s="75"/>
      <c r="G809" s="75"/>
      <c r="H809" s="75"/>
      <c r="I809" s="75"/>
      <c r="J809" s="75"/>
    </row>
    <row r="810" spans="1:10" ht="15.75" customHeight="1">
      <c r="A810" s="75"/>
      <c r="B810" s="75"/>
      <c r="C810" s="75"/>
      <c r="D810" s="75"/>
      <c r="E810" s="75"/>
      <c r="F810" s="75"/>
      <c r="G810" s="75"/>
      <c r="H810" s="75"/>
      <c r="I810" s="75"/>
      <c r="J810" s="75"/>
    </row>
    <row r="811" spans="1:10" ht="15.75" customHeight="1">
      <c r="A811" s="75"/>
      <c r="B811" s="75"/>
      <c r="C811" s="75"/>
      <c r="D811" s="75"/>
      <c r="E811" s="75"/>
      <c r="F811" s="75"/>
      <c r="G811" s="75"/>
      <c r="H811" s="75"/>
      <c r="I811" s="75"/>
      <c r="J811" s="75"/>
    </row>
    <row r="812" spans="1:10" ht="15.75" customHeight="1">
      <c r="A812" s="75"/>
      <c r="B812" s="75"/>
      <c r="C812" s="75"/>
      <c r="D812" s="75"/>
      <c r="E812" s="75"/>
      <c r="F812" s="75"/>
      <c r="G812" s="75"/>
      <c r="H812" s="75"/>
      <c r="I812" s="75"/>
      <c r="J812" s="75"/>
    </row>
    <row r="813" spans="1:10" ht="15.75" customHeight="1">
      <c r="A813" s="75"/>
      <c r="B813" s="75"/>
      <c r="C813" s="75"/>
      <c r="D813" s="75"/>
      <c r="E813" s="75"/>
      <c r="F813" s="75"/>
      <c r="G813" s="75"/>
      <c r="H813" s="75"/>
      <c r="I813" s="75"/>
      <c r="J813" s="75"/>
    </row>
    <row r="814" spans="1:10" ht="15.75" customHeight="1">
      <c r="A814" s="75"/>
      <c r="B814" s="75"/>
      <c r="C814" s="75"/>
      <c r="D814" s="75"/>
      <c r="E814" s="75"/>
      <c r="F814" s="75"/>
      <c r="G814" s="75"/>
      <c r="H814" s="75"/>
      <c r="I814" s="75"/>
      <c r="J814" s="75"/>
    </row>
    <row r="815" spans="1:10" ht="15.75" customHeight="1">
      <c r="A815" s="75"/>
      <c r="B815" s="75"/>
      <c r="C815" s="75"/>
      <c r="D815" s="75"/>
      <c r="E815" s="75"/>
      <c r="F815" s="75"/>
      <c r="G815" s="75"/>
      <c r="H815" s="75"/>
      <c r="I815" s="75"/>
      <c r="J815" s="75"/>
    </row>
    <row r="816" spans="1:10" ht="15.75" customHeight="1">
      <c r="A816" s="75"/>
      <c r="B816" s="75"/>
      <c r="C816" s="75"/>
      <c r="D816" s="75"/>
      <c r="E816" s="75"/>
      <c r="F816" s="75"/>
      <c r="G816" s="75"/>
      <c r="H816" s="75"/>
      <c r="I816" s="75"/>
      <c r="J816" s="75"/>
    </row>
    <row r="817" spans="1:10" ht="15.75" customHeight="1">
      <c r="A817" s="75"/>
      <c r="B817" s="75"/>
      <c r="C817" s="75"/>
      <c r="D817" s="75"/>
      <c r="E817" s="75"/>
      <c r="F817" s="75"/>
      <c r="G817" s="75"/>
      <c r="H817" s="75"/>
      <c r="I817" s="75"/>
      <c r="J817" s="75"/>
    </row>
    <row r="818" spans="1:10" ht="15.75" customHeight="1">
      <c r="A818" s="75"/>
      <c r="B818" s="75"/>
      <c r="C818" s="75"/>
      <c r="D818" s="75"/>
      <c r="E818" s="75"/>
      <c r="F818" s="75"/>
      <c r="G818" s="75"/>
      <c r="H818" s="75"/>
      <c r="I818" s="75"/>
      <c r="J818" s="75"/>
    </row>
    <row r="819" spans="1:10" ht="15.75" customHeight="1">
      <c r="A819" s="75"/>
      <c r="B819" s="75"/>
      <c r="C819" s="75"/>
      <c r="D819" s="75"/>
      <c r="E819" s="75"/>
      <c r="F819" s="75"/>
      <c r="G819" s="75"/>
      <c r="H819" s="75"/>
      <c r="I819" s="75"/>
      <c r="J819" s="75"/>
    </row>
    <row r="820" spans="1:10" ht="15.75" customHeight="1">
      <c r="A820" s="75"/>
      <c r="B820" s="75"/>
      <c r="C820" s="75"/>
      <c r="D820" s="75"/>
      <c r="E820" s="75"/>
      <c r="F820" s="75"/>
      <c r="G820" s="75"/>
      <c r="H820" s="75"/>
      <c r="I820" s="75"/>
      <c r="J820" s="75"/>
    </row>
    <row r="821" spans="1:10" ht="15.75" customHeight="1">
      <c r="A821" s="75"/>
      <c r="B821" s="75"/>
      <c r="C821" s="75"/>
      <c r="D821" s="75"/>
      <c r="E821" s="75"/>
      <c r="F821" s="75"/>
      <c r="G821" s="75"/>
      <c r="H821" s="75"/>
      <c r="I821" s="75"/>
      <c r="J821" s="75"/>
    </row>
    <row r="822" spans="1:10" ht="15.75" customHeight="1">
      <c r="A822" s="75"/>
      <c r="B822" s="75"/>
      <c r="C822" s="75"/>
      <c r="D822" s="75"/>
      <c r="E822" s="75"/>
      <c r="F822" s="75"/>
      <c r="G822" s="75"/>
      <c r="H822" s="75"/>
      <c r="I822" s="75"/>
      <c r="J822" s="75"/>
    </row>
    <row r="823" spans="1:10" ht="15.75" customHeight="1">
      <c r="A823" s="75"/>
      <c r="B823" s="75"/>
      <c r="C823" s="75"/>
      <c r="D823" s="75"/>
      <c r="E823" s="75"/>
      <c r="F823" s="75"/>
      <c r="G823" s="75"/>
      <c r="H823" s="75"/>
      <c r="I823" s="75"/>
      <c r="J823" s="75"/>
    </row>
    <row r="824" spans="1:10" ht="15.75" customHeight="1">
      <c r="A824" s="75"/>
      <c r="B824" s="75"/>
      <c r="C824" s="75"/>
      <c r="D824" s="75"/>
      <c r="E824" s="75"/>
      <c r="F824" s="75"/>
      <c r="G824" s="75"/>
      <c r="H824" s="75"/>
      <c r="I824" s="75"/>
      <c r="J824" s="75"/>
    </row>
    <row r="825" spans="1:10" ht="15.75" customHeight="1">
      <c r="A825" s="75"/>
      <c r="B825" s="75"/>
      <c r="C825" s="75"/>
      <c r="D825" s="75"/>
      <c r="E825" s="75"/>
      <c r="F825" s="75"/>
      <c r="G825" s="75"/>
      <c r="H825" s="75"/>
      <c r="I825" s="75"/>
      <c r="J825" s="75"/>
    </row>
    <row r="826" spans="1:10" ht="15.75" customHeight="1">
      <c r="A826" s="75"/>
      <c r="B826" s="75"/>
      <c r="C826" s="75"/>
      <c r="D826" s="75"/>
      <c r="E826" s="75"/>
      <c r="F826" s="75"/>
      <c r="G826" s="75"/>
      <c r="H826" s="75"/>
      <c r="I826" s="75"/>
      <c r="J826" s="75"/>
    </row>
    <row r="827" spans="1:10" ht="15.75" customHeight="1">
      <c r="A827" s="75"/>
      <c r="B827" s="75"/>
      <c r="C827" s="75"/>
      <c r="D827" s="75"/>
      <c r="E827" s="75"/>
      <c r="F827" s="75"/>
      <c r="G827" s="75"/>
      <c r="H827" s="75"/>
      <c r="I827" s="75"/>
      <c r="J827" s="75"/>
    </row>
    <row r="828" spans="1:10" ht="15.75" customHeight="1">
      <c r="A828" s="75"/>
      <c r="B828" s="75"/>
      <c r="C828" s="75"/>
      <c r="D828" s="75"/>
      <c r="E828" s="75"/>
      <c r="F828" s="75"/>
      <c r="G828" s="75"/>
      <c r="H828" s="75"/>
      <c r="I828" s="75"/>
      <c r="J828" s="75"/>
    </row>
    <row r="829" spans="1:10" ht="15.75" customHeight="1">
      <c r="A829" s="75"/>
      <c r="B829" s="75"/>
      <c r="C829" s="75"/>
      <c r="D829" s="75"/>
      <c r="E829" s="75"/>
      <c r="F829" s="75"/>
      <c r="G829" s="75"/>
      <c r="H829" s="75"/>
      <c r="I829" s="75"/>
      <c r="J829" s="75"/>
    </row>
    <row r="830" spans="1:10" ht="15.75" customHeight="1">
      <c r="A830" s="75"/>
      <c r="B830" s="75"/>
      <c r="C830" s="75"/>
      <c r="D830" s="75"/>
      <c r="E830" s="75"/>
      <c r="F830" s="75"/>
      <c r="G830" s="75"/>
      <c r="H830" s="75"/>
      <c r="I830" s="75"/>
      <c r="J830" s="75"/>
    </row>
    <row r="831" spans="1:10" ht="15.75" customHeight="1">
      <c r="A831" s="75"/>
      <c r="B831" s="75"/>
      <c r="C831" s="75"/>
      <c r="D831" s="75"/>
      <c r="E831" s="75"/>
      <c r="F831" s="75"/>
      <c r="G831" s="75"/>
      <c r="H831" s="75"/>
      <c r="I831" s="75"/>
      <c r="J831" s="75"/>
    </row>
    <row r="832" spans="1:10" ht="15.75" customHeight="1">
      <c r="A832" s="75"/>
      <c r="B832" s="75"/>
      <c r="C832" s="75"/>
      <c r="D832" s="75"/>
      <c r="E832" s="75"/>
      <c r="F832" s="75"/>
      <c r="G832" s="75"/>
      <c r="H832" s="75"/>
      <c r="I832" s="75"/>
      <c r="J832" s="75"/>
    </row>
    <row r="833" spans="1:10" ht="15.75" customHeight="1">
      <c r="A833" s="75"/>
      <c r="B833" s="75"/>
      <c r="C833" s="75"/>
      <c r="D833" s="75"/>
      <c r="E833" s="75"/>
      <c r="F833" s="75"/>
      <c r="G833" s="75"/>
      <c r="H833" s="75"/>
      <c r="I833" s="75"/>
      <c r="J833" s="75"/>
    </row>
    <row r="834" spans="1:10" ht="15.75" customHeight="1">
      <c r="A834" s="75"/>
      <c r="B834" s="75"/>
      <c r="C834" s="75"/>
      <c r="D834" s="75"/>
      <c r="E834" s="75"/>
      <c r="F834" s="75"/>
      <c r="G834" s="75"/>
      <c r="H834" s="75"/>
      <c r="I834" s="75"/>
      <c r="J834" s="75"/>
    </row>
    <row r="835" spans="1:10" ht="15.75" customHeight="1">
      <c r="A835" s="75"/>
      <c r="B835" s="75"/>
      <c r="C835" s="75"/>
      <c r="D835" s="75"/>
      <c r="E835" s="75"/>
      <c r="F835" s="75"/>
      <c r="G835" s="75"/>
      <c r="H835" s="75"/>
      <c r="I835" s="75"/>
      <c r="J835" s="75"/>
    </row>
    <row r="836" spans="1:10" ht="14.5">
      <c r="A836" s="75"/>
      <c r="B836" s="75"/>
      <c r="C836" s="75"/>
      <c r="D836" s="75"/>
      <c r="E836" s="75"/>
      <c r="F836" s="75"/>
      <c r="G836" s="75"/>
      <c r="H836" s="75"/>
      <c r="I836" s="75"/>
      <c r="J836" s="75"/>
    </row>
    <row r="837" spans="1:10" ht="14.5">
      <c r="A837" s="75"/>
      <c r="B837" s="75"/>
      <c r="C837" s="75"/>
      <c r="D837" s="75"/>
      <c r="E837" s="75"/>
      <c r="F837" s="75"/>
      <c r="G837" s="75"/>
      <c r="H837" s="75"/>
      <c r="I837" s="75"/>
      <c r="J837" s="75"/>
    </row>
    <row r="838" spans="1:10" ht="14.5">
      <c r="A838" s="75"/>
      <c r="B838" s="75"/>
      <c r="C838" s="75"/>
      <c r="D838" s="75"/>
      <c r="E838" s="75"/>
      <c r="F838" s="75"/>
      <c r="G838" s="75"/>
      <c r="H838" s="75"/>
      <c r="I838" s="75"/>
      <c r="J838" s="75"/>
    </row>
    <row r="839" spans="1:10" ht="14.5">
      <c r="A839" s="75"/>
      <c r="B839" s="75"/>
      <c r="C839" s="75"/>
      <c r="D839" s="75"/>
      <c r="E839" s="75"/>
      <c r="F839" s="75"/>
      <c r="G839" s="75"/>
      <c r="H839" s="75"/>
      <c r="I839" s="75"/>
      <c r="J839" s="75"/>
    </row>
    <row r="840" spans="1:10" ht="14.5">
      <c r="A840" s="75"/>
      <c r="B840" s="75"/>
      <c r="C840" s="75"/>
      <c r="D840" s="75"/>
      <c r="E840" s="75"/>
      <c r="F840" s="75"/>
      <c r="G840" s="75"/>
      <c r="H840" s="75"/>
      <c r="I840" s="75"/>
      <c r="J840" s="75"/>
    </row>
    <row r="841" spans="1:10" ht="14.5">
      <c r="A841" s="75"/>
      <c r="B841" s="75"/>
      <c r="C841" s="75"/>
      <c r="D841" s="75"/>
      <c r="E841" s="75"/>
      <c r="F841" s="75"/>
      <c r="G841" s="75"/>
      <c r="H841" s="75"/>
      <c r="I841" s="75"/>
      <c r="J841" s="75"/>
    </row>
    <row r="842" spans="1:10" ht="14.5">
      <c r="A842" s="75"/>
      <c r="B842" s="75"/>
      <c r="C842" s="75"/>
      <c r="D842" s="75"/>
      <c r="E842" s="75"/>
      <c r="F842" s="75"/>
      <c r="G842" s="75"/>
      <c r="H842" s="75"/>
      <c r="I842" s="75"/>
      <c r="J842" s="75"/>
    </row>
    <row r="843" spans="1:10" ht="14.5">
      <c r="A843" s="75"/>
      <c r="B843" s="75"/>
      <c r="C843" s="75"/>
      <c r="D843" s="75"/>
      <c r="E843" s="75"/>
      <c r="F843" s="75"/>
      <c r="G843" s="75"/>
      <c r="H843" s="75"/>
      <c r="I843" s="75"/>
      <c r="J843" s="75"/>
    </row>
    <row r="844" spans="1:10" ht="14.5">
      <c r="A844" s="75"/>
      <c r="B844" s="75"/>
      <c r="C844" s="75"/>
      <c r="D844" s="75"/>
      <c r="E844" s="75"/>
      <c r="F844" s="75"/>
      <c r="G844" s="75"/>
      <c r="H844" s="75"/>
      <c r="I844" s="75"/>
      <c r="J844" s="75"/>
    </row>
    <row r="845" spans="1:10" ht="14.5">
      <c r="A845" s="75"/>
      <c r="B845" s="75"/>
      <c r="C845" s="75"/>
      <c r="D845" s="75"/>
      <c r="E845" s="75"/>
      <c r="F845" s="75"/>
      <c r="G845" s="75"/>
      <c r="H845" s="75"/>
      <c r="I845" s="75"/>
      <c r="J845" s="75"/>
    </row>
    <row r="846" spans="1:10" ht="14.5">
      <c r="A846" s="75"/>
      <c r="B846" s="75"/>
      <c r="C846" s="75"/>
      <c r="D846" s="75"/>
      <c r="E846" s="75"/>
      <c r="F846" s="75"/>
      <c r="G846" s="75"/>
      <c r="H846" s="75"/>
      <c r="I846" s="75"/>
      <c r="J846" s="75"/>
    </row>
    <row r="847" spans="1:10" ht="14.5">
      <c r="A847" s="75"/>
      <c r="B847" s="75"/>
      <c r="C847" s="75"/>
      <c r="D847" s="75"/>
      <c r="E847" s="75"/>
      <c r="F847" s="75"/>
      <c r="G847" s="75"/>
      <c r="H847" s="75"/>
      <c r="I847" s="75"/>
      <c r="J847" s="75"/>
    </row>
    <row r="848" spans="1:10" ht="14.5">
      <c r="A848" s="75"/>
      <c r="B848" s="75"/>
      <c r="C848" s="75"/>
      <c r="D848" s="75"/>
      <c r="E848" s="75"/>
      <c r="F848" s="75"/>
      <c r="G848" s="75"/>
      <c r="H848" s="75"/>
      <c r="I848" s="75"/>
      <c r="J848" s="75"/>
    </row>
    <row r="849" spans="1:10" ht="14.5">
      <c r="A849" s="75"/>
      <c r="B849" s="75"/>
      <c r="C849" s="75"/>
      <c r="D849" s="75"/>
      <c r="E849" s="75"/>
      <c r="F849" s="75"/>
      <c r="G849" s="75"/>
      <c r="H849" s="75"/>
      <c r="I849" s="75"/>
      <c r="J849" s="75"/>
    </row>
    <row r="850" spans="1:10" ht="14.5">
      <c r="A850" s="75"/>
      <c r="B850" s="75"/>
      <c r="C850" s="75"/>
      <c r="D850" s="75"/>
      <c r="E850" s="75"/>
      <c r="F850" s="75"/>
      <c r="G850" s="75"/>
      <c r="H850" s="75"/>
      <c r="I850" s="75"/>
      <c r="J850" s="75"/>
    </row>
    <row r="851" spans="1:10" ht="14.5">
      <c r="A851" s="75"/>
      <c r="B851" s="75"/>
      <c r="C851" s="75"/>
      <c r="D851" s="75"/>
      <c r="E851" s="75"/>
      <c r="F851" s="75"/>
      <c r="G851" s="75"/>
      <c r="H851" s="75"/>
      <c r="I851" s="75"/>
      <c r="J851" s="75"/>
    </row>
    <row r="852" spans="1:10" ht="14.5">
      <c r="A852" s="75"/>
      <c r="B852" s="75"/>
      <c r="C852" s="75"/>
      <c r="D852" s="75"/>
      <c r="E852" s="75"/>
      <c r="F852" s="75"/>
      <c r="G852" s="75"/>
      <c r="H852" s="75"/>
      <c r="I852" s="75"/>
      <c r="J852" s="75"/>
    </row>
    <row r="853" spans="1:10" ht="14.5">
      <c r="A853" s="75"/>
      <c r="B853" s="75"/>
      <c r="C853" s="75"/>
      <c r="D853" s="75"/>
      <c r="E853" s="75"/>
      <c r="F853" s="75"/>
      <c r="G853" s="75"/>
      <c r="H853" s="75"/>
      <c r="I853" s="75"/>
      <c r="J853" s="75"/>
    </row>
    <row r="854" spans="1:10" ht="14.5">
      <c r="A854" s="75"/>
      <c r="B854" s="75"/>
      <c r="C854" s="75"/>
      <c r="D854" s="75"/>
      <c r="E854" s="75"/>
      <c r="F854" s="75"/>
      <c r="G854" s="75"/>
      <c r="H854" s="75"/>
      <c r="I854" s="75"/>
      <c r="J854" s="75"/>
    </row>
    <row r="855" spans="1:10" ht="14.5">
      <c r="A855" s="75"/>
      <c r="B855" s="75"/>
      <c r="C855" s="75"/>
      <c r="D855" s="75"/>
      <c r="E855" s="75"/>
      <c r="F855" s="75"/>
      <c r="G855" s="75"/>
      <c r="H855" s="75"/>
      <c r="I855" s="75"/>
      <c r="J855" s="75"/>
    </row>
    <row r="856" spans="1:10" ht="14.5">
      <c r="A856" s="75"/>
      <c r="B856" s="75"/>
      <c r="C856" s="75"/>
      <c r="D856" s="75"/>
      <c r="E856" s="75"/>
      <c r="F856" s="75"/>
      <c r="G856" s="75"/>
      <c r="H856" s="75"/>
      <c r="I856" s="75"/>
      <c r="J856" s="75"/>
    </row>
    <row r="857" spans="1:10" ht="14.5">
      <c r="A857" s="75"/>
      <c r="B857" s="75"/>
      <c r="C857" s="75"/>
      <c r="D857" s="75"/>
      <c r="E857" s="75"/>
      <c r="F857" s="75"/>
      <c r="G857" s="75"/>
      <c r="H857" s="75"/>
      <c r="I857" s="75"/>
      <c r="J857" s="75"/>
    </row>
    <row r="858" spans="1:10" ht="14.5">
      <c r="A858" s="75"/>
      <c r="B858" s="75"/>
      <c r="C858" s="75"/>
      <c r="D858" s="75"/>
      <c r="E858" s="75"/>
      <c r="F858" s="75"/>
      <c r="G858" s="75"/>
      <c r="H858" s="75"/>
      <c r="I858" s="75"/>
      <c r="J858" s="75"/>
    </row>
    <row r="859" spans="1:10" ht="14.5">
      <c r="A859" s="75"/>
      <c r="B859" s="75"/>
      <c r="C859" s="75"/>
      <c r="D859" s="75"/>
      <c r="E859" s="75"/>
      <c r="F859" s="75"/>
      <c r="G859" s="75"/>
      <c r="H859" s="75"/>
      <c r="I859" s="75"/>
      <c r="J859" s="75"/>
    </row>
    <row r="860" spans="1:10" ht="14.5">
      <c r="A860" s="75"/>
      <c r="B860" s="75"/>
      <c r="C860" s="75"/>
      <c r="D860" s="75"/>
      <c r="E860" s="75"/>
      <c r="F860" s="75"/>
      <c r="G860" s="75"/>
      <c r="H860" s="75"/>
      <c r="I860" s="75"/>
      <c r="J860" s="75"/>
    </row>
    <row r="861" spans="1:10" ht="14.5">
      <c r="A861" s="75"/>
      <c r="B861" s="75"/>
      <c r="C861" s="75"/>
      <c r="D861" s="75"/>
      <c r="E861" s="75"/>
      <c r="F861" s="75"/>
      <c r="G861" s="75"/>
      <c r="H861" s="75"/>
      <c r="I861" s="75"/>
      <c r="J861" s="75"/>
    </row>
    <row r="862" spans="1:10" ht="14.5">
      <c r="A862" s="75"/>
      <c r="B862" s="75"/>
      <c r="C862" s="75"/>
      <c r="D862" s="75"/>
      <c r="E862" s="75"/>
      <c r="F862" s="75"/>
      <c r="G862" s="75"/>
      <c r="H862" s="75"/>
      <c r="I862" s="75"/>
      <c r="J862" s="75"/>
    </row>
    <row r="863" spans="1:10" ht="14.5">
      <c r="A863" s="75"/>
      <c r="B863" s="75"/>
      <c r="C863" s="75"/>
      <c r="D863" s="75"/>
      <c r="E863" s="75"/>
      <c r="F863" s="75"/>
      <c r="G863" s="75"/>
      <c r="H863" s="75"/>
      <c r="I863" s="75"/>
      <c r="J863" s="75"/>
    </row>
    <row r="864" spans="1:10" ht="14.5">
      <c r="A864" s="75"/>
      <c r="B864" s="75"/>
      <c r="C864" s="75"/>
      <c r="D864" s="75"/>
      <c r="E864" s="75"/>
      <c r="F864" s="75"/>
      <c r="G864" s="75"/>
      <c r="H864" s="75"/>
      <c r="I864" s="75"/>
      <c r="J864" s="75"/>
    </row>
    <row r="865" spans="1:10" ht="14.5">
      <c r="A865" s="75"/>
      <c r="B865" s="75"/>
      <c r="C865" s="75"/>
      <c r="D865" s="75"/>
      <c r="E865" s="75"/>
      <c r="F865" s="75"/>
      <c r="G865" s="75"/>
      <c r="H865" s="75"/>
      <c r="I865" s="75"/>
      <c r="J865" s="75"/>
    </row>
    <row r="866" spans="1:10" ht="14.5">
      <c r="A866" s="75"/>
      <c r="B866" s="75"/>
      <c r="C866" s="75"/>
      <c r="D866" s="75"/>
      <c r="E866" s="75"/>
      <c r="F866" s="75"/>
      <c r="G866" s="75"/>
      <c r="H866" s="75"/>
      <c r="I866" s="75"/>
      <c r="J866" s="75"/>
    </row>
    <row r="867" spans="1:10" ht="14.5">
      <c r="A867" s="75"/>
      <c r="B867" s="75"/>
      <c r="C867" s="75"/>
      <c r="D867" s="75"/>
      <c r="E867" s="75"/>
      <c r="F867" s="75"/>
      <c r="G867" s="75"/>
      <c r="H867" s="75"/>
      <c r="I867" s="75"/>
      <c r="J867" s="75"/>
    </row>
    <row r="868" spans="1:10" ht="14.5">
      <c r="A868" s="75"/>
      <c r="B868" s="75"/>
      <c r="C868" s="75"/>
      <c r="D868" s="75"/>
      <c r="E868" s="75"/>
      <c r="F868" s="75"/>
      <c r="G868" s="75"/>
      <c r="H868" s="75"/>
      <c r="I868" s="75"/>
      <c r="J868" s="75"/>
    </row>
    <row r="869" spans="1:10" ht="14.5">
      <c r="A869" s="75"/>
      <c r="B869" s="75"/>
      <c r="C869" s="75"/>
      <c r="D869" s="75"/>
      <c r="E869" s="75"/>
      <c r="F869" s="75"/>
      <c r="G869" s="75"/>
      <c r="H869" s="75"/>
      <c r="I869" s="75"/>
      <c r="J869" s="75"/>
    </row>
    <row r="870" spans="1:10" ht="14.5">
      <c r="A870" s="75"/>
      <c r="B870" s="75"/>
      <c r="C870" s="75"/>
      <c r="D870" s="75"/>
      <c r="E870" s="75"/>
      <c r="F870" s="75"/>
      <c r="G870" s="75"/>
      <c r="H870" s="75"/>
      <c r="I870" s="75"/>
      <c r="J870" s="75"/>
    </row>
    <row r="871" spans="1:10" ht="14.5">
      <c r="A871" s="75"/>
      <c r="B871" s="75"/>
      <c r="C871" s="75"/>
      <c r="D871" s="75"/>
      <c r="E871" s="75"/>
      <c r="F871" s="75"/>
      <c r="G871" s="75"/>
      <c r="H871" s="75"/>
      <c r="I871" s="75"/>
      <c r="J871" s="75"/>
    </row>
    <row r="872" spans="1:10" ht="14.5">
      <c r="A872" s="75"/>
      <c r="B872" s="75"/>
      <c r="C872" s="75"/>
      <c r="D872" s="75"/>
      <c r="E872" s="75"/>
      <c r="F872" s="75"/>
      <c r="G872" s="75"/>
      <c r="H872" s="75"/>
      <c r="I872" s="75"/>
      <c r="J872" s="75"/>
    </row>
    <row r="873" spans="1:10" ht="14.5">
      <c r="A873" s="75"/>
      <c r="B873" s="75"/>
      <c r="C873" s="75"/>
      <c r="D873" s="75"/>
      <c r="E873" s="75"/>
      <c r="F873" s="75"/>
      <c r="G873" s="75"/>
      <c r="H873" s="75"/>
      <c r="I873" s="75"/>
      <c r="J873" s="75"/>
    </row>
    <row r="874" spans="1:10" ht="14.5">
      <c r="A874" s="75"/>
      <c r="B874" s="75"/>
      <c r="C874" s="75"/>
      <c r="D874" s="75"/>
      <c r="E874" s="75"/>
      <c r="F874" s="75"/>
      <c r="G874" s="75"/>
      <c r="H874" s="75"/>
      <c r="I874" s="75"/>
      <c r="J874" s="75"/>
    </row>
    <row r="875" spans="1:10" ht="14.5">
      <c r="A875" s="75"/>
      <c r="B875" s="75"/>
      <c r="C875" s="75"/>
      <c r="D875" s="75"/>
      <c r="E875" s="75"/>
      <c r="F875" s="75"/>
      <c r="G875" s="75"/>
      <c r="H875" s="75"/>
      <c r="I875" s="75"/>
      <c r="J875" s="75"/>
    </row>
    <row r="876" spans="1:10" ht="14.5">
      <c r="A876" s="75"/>
      <c r="B876" s="75"/>
      <c r="C876" s="75"/>
      <c r="D876" s="75"/>
      <c r="E876" s="75"/>
      <c r="F876" s="75"/>
      <c r="G876" s="75"/>
      <c r="H876" s="75"/>
      <c r="I876" s="75"/>
      <c r="J876" s="75"/>
    </row>
    <row r="877" spans="1:10" ht="14.5">
      <c r="A877" s="75"/>
      <c r="B877" s="75"/>
      <c r="C877" s="75"/>
      <c r="D877" s="75"/>
      <c r="E877" s="75"/>
      <c r="F877" s="75"/>
      <c r="G877" s="75"/>
      <c r="H877" s="75"/>
      <c r="I877" s="75"/>
      <c r="J877" s="75"/>
    </row>
    <row r="878" spans="1:10" ht="14.5">
      <c r="A878" s="75"/>
      <c r="B878" s="75"/>
      <c r="C878" s="75"/>
      <c r="D878" s="75"/>
      <c r="E878" s="75"/>
      <c r="F878" s="75"/>
      <c r="G878" s="75"/>
      <c r="H878" s="75"/>
      <c r="I878" s="75"/>
      <c r="J878" s="75"/>
    </row>
    <row r="879" spans="1:10" ht="14.5">
      <c r="A879" s="75"/>
      <c r="B879" s="75"/>
      <c r="C879" s="75"/>
      <c r="D879" s="75"/>
      <c r="E879" s="75"/>
      <c r="F879" s="75"/>
      <c r="G879" s="75"/>
      <c r="H879" s="75"/>
      <c r="I879" s="75"/>
      <c r="J879" s="75"/>
    </row>
    <row r="880" spans="1:10" ht="14.5">
      <c r="A880" s="75"/>
      <c r="B880" s="75"/>
      <c r="C880" s="75"/>
      <c r="D880" s="75"/>
      <c r="E880" s="75"/>
      <c r="F880" s="75"/>
      <c r="G880" s="75"/>
      <c r="H880" s="75"/>
      <c r="I880" s="75"/>
      <c r="J880" s="75"/>
    </row>
    <row r="881" spans="1:10" ht="14.5">
      <c r="A881" s="75"/>
      <c r="B881" s="75"/>
      <c r="C881" s="75"/>
      <c r="D881" s="75"/>
      <c r="E881" s="75"/>
      <c r="F881" s="75"/>
      <c r="G881" s="75"/>
      <c r="H881" s="75"/>
      <c r="I881" s="75"/>
      <c r="J881" s="75"/>
    </row>
    <row r="882" spans="1:10" ht="14.5">
      <c r="A882" s="75"/>
      <c r="B882" s="75"/>
      <c r="C882" s="75"/>
      <c r="D882" s="75"/>
      <c r="E882" s="75"/>
      <c r="F882" s="75"/>
      <c r="G882" s="75"/>
      <c r="H882" s="75"/>
      <c r="I882" s="75"/>
      <c r="J882" s="75"/>
    </row>
    <row r="883" spans="1:10" ht="14.5">
      <c r="A883" s="75"/>
      <c r="B883" s="75"/>
      <c r="C883" s="75"/>
      <c r="D883" s="75"/>
      <c r="E883" s="75"/>
      <c r="F883" s="75"/>
      <c r="G883" s="75"/>
      <c r="H883" s="75"/>
      <c r="I883" s="75"/>
      <c r="J883" s="75"/>
    </row>
    <row r="884" spans="1:10" ht="14.5">
      <c r="A884" s="75"/>
      <c r="B884" s="75"/>
      <c r="C884" s="75"/>
      <c r="D884" s="75"/>
      <c r="E884" s="75"/>
      <c r="F884" s="75"/>
      <c r="G884" s="75"/>
      <c r="H884" s="75"/>
      <c r="I884" s="75"/>
      <c r="J884" s="75"/>
    </row>
    <row r="885" spans="1:10" ht="14.5">
      <c r="A885" s="75"/>
      <c r="B885" s="75"/>
      <c r="C885" s="75"/>
      <c r="D885" s="75"/>
      <c r="E885" s="75"/>
      <c r="F885" s="75"/>
      <c r="G885" s="75"/>
      <c r="H885" s="75"/>
      <c r="I885" s="75"/>
      <c r="J885" s="75"/>
    </row>
    <row r="886" spans="1:10" ht="14.5">
      <c r="A886" s="75"/>
      <c r="B886" s="75"/>
      <c r="C886" s="75"/>
      <c r="D886" s="75"/>
      <c r="E886" s="75"/>
      <c r="F886" s="75"/>
      <c r="G886" s="75"/>
      <c r="H886" s="75"/>
      <c r="I886" s="75"/>
      <c r="J886" s="75"/>
    </row>
    <row r="887" spans="1:10" ht="14.5">
      <c r="A887" s="75"/>
      <c r="B887" s="75"/>
      <c r="C887" s="75"/>
      <c r="D887" s="75"/>
      <c r="E887" s="75"/>
      <c r="F887" s="75"/>
      <c r="G887" s="75"/>
      <c r="H887" s="75"/>
      <c r="I887" s="75"/>
      <c r="J887" s="75"/>
    </row>
    <row r="888" spans="1:10" ht="14.5">
      <c r="A888" s="75"/>
      <c r="B888" s="75"/>
      <c r="C888" s="75"/>
      <c r="D888" s="75"/>
      <c r="E888" s="75"/>
      <c r="F888" s="75"/>
      <c r="G888" s="75"/>
      <c r="H888" s="75"/>
      <c r="I888" s="75"/>
      <c r="J888" s="75"/>
    </row>
    <row r="889" spans="1:10" ht="14.5">
      <c r="A889" s="75"/>
      <c r="B889" s="75"/>
      <c r="C889" s="75"/>
      <c r="D889" s="75"/>
      <c r="E889" s="75"/>
      <c r="F889" s="75"/>
      <c r="G889" s="75"/>
      <c r="H889" s="75"/>
      <c r="I889" s="75"/>
      <c r="J889" s="75"/>
    </row>
    <row r="890" spans="1:10" ht="14.5">
      <c r="A890" s="75"/>
      <c r="B890" s="75"/>
      <c r="C890" s="75"/>
      <c r="D890" s="75"/>
      <c r="E890" s="75"/>
      <c r="F890" s="75"/>
      <c r="G890" s="75"/>
      <c r="H890" s="75"/>
      <c r="I890" s="75"/>
      <c r="J890" s="75"/>
    </row>
    <row r="891" spans="1:10" ht="14.5">
      <c r="A891" s="75"/>
      <c r="B891" s="75"/>
      <c r="C891" s="75"/>
      <c r="D891" s="75"/>
      <c r="E891" s="75"/>
      <c r="F891" s="75"/>
      <c r="G891" s="75"/>
      <c r="H891" s="75"/>
      <c r="I891" s="75"/>
      <c r="J891" s="75"/>
    </row>
    <row r="892" spans="1:10" ht="14.5">
      <c r="A892" s="75"/>
      <c r="B892" s="75"/>
      <c r="C892" s="75"/>
      <c r="D892" s="75"/>
      <c r="E892" s="75"/>
      <c r="F892" s="75"/>
      <c r="G892" s="75"/>
      <c r="H892" s="75"/>
      <c r="I892" s="75"/>
      <c r="J892" s="75"/>
    </row>
    <row r="893" spans="1:10" ht="14.5">
      <c r="A893" s="75"/>
      <c r="B893" s="75"/>
      <c r="C893" s="75"/>
      <c r="D893" s="75"/>
      <c r="E893" s="75"/>
      <c r="F893" s="75"/>
      <c r="G893" s="75"/>
      <c r="H893" s="75"/>
      <c r="I893" s="75"/>
      <c r="J893" s="75"/>
    </row>
    <row r="894" spans="1:10" ht="14.5">
      <c r="A894" s="75"/>
      <c r="B894" s="75"/>
      <c r="C894" s="75"/>
      <c r="D894" s="75"/>
      <c r="E894" s="75"/>
      <c r="F894" s="75"/>
      <c r="G894" s="75"/>
      <c r="H894" s="75"/>
      <c r="I894" s="75"/>
      <c r="J894" s="75"/>
    </row>
    <row r="895" spans="1:10" ht="14.5">
      <c r="A895" s="75"/>
      <c r="B895" s="75"/>
      <c r="C895" s="75"/>
      <c r="D895" s="75"/>
      <c r="E895" s="75"/>
      <c r="F895" s="75"/>
      <c r="G895" s="75"/>
      <c r="H895" s="75"/>
      <c r="I895" s="75"/>
      <c r="J895" s="75"/>
    </row>
    <row r="896" spans="1:10" ht="14.5">
      <c r="A896" s="75"/>
      <c r="B896" s="75"/>
      <c r="C896" s="75"/>
      <c r="D896" s="75"/>
      <c r="E896" s="75"/>
      <c r="F896" s="75"/>
      <c r="G896" s="75"/>
      <c r="H896" s="75"/>
      <c r="I896" s="75"/>
      <c r="J896" s="75"/>
    </row>
    <row r="897" spans="1:10" ht="14.5">
      <c r="A897" s="75"/>
      <c r="B897" s="75"/>
      <c r="C897" s="75"/>
      <c r="D897" s="75"/>
      <c r="E897" s="75"/>
      <c r="F897" s="75"/>
      <c r="G897" s="75"/>
      <c r="H897" s="75"/>
      <c r="I897" s="75"/>
      <c r="J897" s="75"/>
    </row>
    <row r="898" spans="1:10" ht="14.5">
      <c r="A898" s="75"/>
      <c r="B898" s="75"/>
      <c r="C898" s="75"/>
      <c r="D898" s="75"/>
      <c r="E898" s="75"/>
      <c r="F898" s="75"/>
      <c r="G898" s="75"/>
      <c r="H898" s="75"/>
      <c r="I898" s="75"/>
      <c r="J898" s="75"/>
    </row>
    <row r="899" spans="1:10" ht="14.5">
      <c r="A899" s="75"/>
      <c r="B899" s="75"/>
      <c r="C899" s="75"/>
      <c r="D899" s="75"/>
      <c r="E899" s="75"/>
      <c r="F899" s="75"/>
      <c r="G899" s="75"/>
      <c r="H899" s="75"/>
      <c r="I899" s="75"/>
      <c r="J899" s="75"/>
    </row>
    <row r="900" spans="1:10" ht="14.5">
      <c r="A900" s="75"/>
      <c r="B900" s="75"/>
      <c r="C900" s="75"/>
      <c r="D900" s="75"/>
      <c r="E900" s="75"/>
      <c r="F900" s="75"/>
      <c r="G900" s="75"/>
      <c r="H900" s="75"/>
      <c r="I900" s="75"/>
      <c r="J900" s="75"/>
    </row>
    <row r="901" spans="1:10" ht="14.5">
      <c r="A901" s="75"/>
      <c r="B901" s="75"/>
      <c r="C901" s="75"/>
      <c r="D901" s="75"/>
      <c r="E901" s="75"/>
      <c r="F901" s="75"/>
      <c r="G901" s="75"/>
      <c r="H901" s="75"/>
      <c r="I901" s="75"/>
      <c r="J901" s="75"/>
    </row>
  </sheetData>
  <mergeCells count="10">
    <mergeCell ref="A17:A21"/>
    <mergeCell ref="A22:A28"/>
    <mergeCell ref="A29:A34"/>
    <mergeCell ref="A35:A40"/>
    <mergeCell ref="A41:A46"/>
    <mergeCell ref="A2:J4"/>
    <mergeCell ref="A5:D5"/>
    <mergeCell ref="A10:A12"/>
    <mergeCell ref="A13:A16"/>
    <mergeCell ref="A7:A9"/>
  </mergeCells>
  <pageMargins left="0.7" right="0.7" top="0.75" bottom="0.75" header="0" footer="0"/>
  <pageSetup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7EA40-4ACD-489C-AF43-DE351D12DF39}">
  <dimension ref="A1"/>
  <sheetViews>
    <sheetView workbookViewId="0"/>
  </sheetViews>
  <sheetFormatPr baseColWidth="10" defaultColWidth="9" defaultRowHeight="14"/>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079EF850E9C214A89711C8C430E0938" ma:contentTypeVersion="3" ma:contentTypeDescription="Crear nuevo documento." ma:contentTypeScope="" ma:versionID="4fdf64f08d9ae4977b53bfcd194ff0e0">
  <xsd:schema xmlns:xsd="http://www.w3.org/2001/XMLSchema" xmlns:xs="http://www.w3.org/2001/XMLSchema" xmlns:p="http://schemas.microsoft.com/office/2006/metadata/properties" xmlns:ns2="b4f550ae-8fa0-4480-9792-a170931834a5" targetNamespace="http://schemas.microsoft.com/office/2006/metadata/properties" ma:root="true" ma:fieldsID="9603b357dcd958e178acf63e7cb1c034" ns2:_="">
    <xsd:import namespace="b4f550ae-8fa0-4480-9792-a170931834a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f550ae-8fa0-4480-9792-a170931834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76AC2A6-1D87-4293-A2DC-4B9553C22DBA}"/>
</file>

<file path=customXml/itemProps2.xml><?xml version="1.0" encoding="utf-8"?>
<ds:datastoreItem xmlns:ds="http://schemas.openxmlformats.org/officeDocument/2006/customXml" ds:itemID="{BFD2128C-7EF8-4FAD-9D00-785BC8834CE4}"/>
</file>

<file path=customXml/itemProps3.xml><?xml version="1.0" encoding="utf-8"?>
<ds:datastoreItem xmlns:ds="http://schemas.openxmlformats.org/officeDocument/2006/customXml" ds:itemID="{E5691238-1F42-48FD-89DA-F22D1F1907D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TABLA 1</vt:lpstr>
      <vt:lpstr>TABLA 2</vt:lpstr>
      <vt:lpstr>TABLA 3</vt:lpstr>
      <vt:lpstr>TABLA 4</vt:lpstr>
      <vt:lpstr>TABLA 5</vt:lpstr>
      <vt:lpstr>Hoja3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Laura Katherine Rojas Perez</cp:lastModifiedBy>
  <cp:revision/>
  <cp:lastPrinted>2024-06-19T15:27:25Z</cp:lastPrinted>
  <dcterms:created xsi:type="dcterms:W3CDTF">2009-10-01T15:03:06Z</dcterms:created>
  <dcterms:modified xsi:type="dcterms:W3CDTF">2026-05-08T21:15:35Z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535a957-b352-4c2d-aa57-80f72177303d_Enabled">
    <vt:lpwstr>true</vt:lpwstr>
  </property>
  <property fmtid="{D5CDD505-2E9C-101B-9397-08002B2CF9AE}" pid="3" name="MSIP_Label_f535a957-b352-4c2d-aa57-80f72177303d_SetDate">
    <vt:lpwstr>2023-10-28T12:26:31Z</vt:lpwstr>
  </property>
  <property fmtid="{D5CDD505-2E9C-101B-9397-08002B2CF9AE}" pid="4" name="MSIP_Label_f535a957-b352-4c2d-aa57-80f72177303d_Method">
    <vt:lpwstr>Standard</vt:lpwstr>
  </property>
  <property fmtid="{D5CDD505-2E9C-101B-9397-08002B2CF9AE}" pid="5" name="MSIP_Label_f535a957-b352-4c2d-aa57-80f72177303d_Name">
    <vt:lpwstr>defa4170-0d19-0005-0004-bc88714345d2</vt:lpwstr>
  </property>
  <property fmtid="{D5CDD505-2E9C-101B-9397-08002B2CF9AE}" pid="6" name="MSIP_Label_f535a957-b352-4c2d-aa57-80f72177303d_SiteId">
    <vt:lpwstr>34303541-74ec-4d4a-8c5a-8049d2fd6ce6</vt:lpwstr>
  </property>
  <property fmtid="{D5CDD505-2E9C-101B-9397-08002B2CF9AE}" pid="7" name="MSIP_Label_f535a957-b352-4c2d-aa57-80f72177303d_ActionId">
    <vt:lpwstr>cb1b88fb-af0f-4114-aaf1-12f43ab091a3</vt:lpwstr>
  </property>
  <property fmtid="{D5CDD505-2E9C-101B-9397-08002B2CF9AE}" pid="8" name="MSIP_Label_f535a957-b352-4c2d-aa57-80f72177303d_ContentBits">
    <vt:lpwstr>0</vt:lpwstr>
  </property>
  <property fmtid="{D5CDD505-2E9C-101B-9397-08002B2CF9AE}" pid="9" name="ContentTypeId">
    <vt:lpwstr>0x010100E079EF850E9C214A89711C8C430E0938</vt:lpwstr>
  </property>
</Properties>
</file>